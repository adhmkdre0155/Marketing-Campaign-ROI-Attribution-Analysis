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onthly_Data" sheetId="2" state="visible" r:id="rId4"/>
    <sheet name="Channel_Summary" sheetId="3" state="visible" r:id="rId5"/>
    <sheet name="Attribution_Comparison" sheetId="4" state="visible" r:id="rId6"/>
    <sheet name="Reallocation_Scenari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<sst xmlns="http://schemas.openxmlformats.org/spreadsheetml/2006/main" count="224" uniqueCount="62">
  <si>
    <t xml:space="preserve">MARKETING CAMPAIGN ROI &amp; ATTRIBUTION DASHBOARD</t>
  </si>
  <si>
    <t xml:space="preserve">SEO · Paid Social · Paid Search · Email — 2024-2025</t>
  </si>
  <si>
    <t xml:space="preserve">BLENDED ROAS</t>
  </si>
  <si>
    <t xml:space="preserve">PAID SOCIAL SPEND SHARE</t>
  </si>
  <si>
    <t xml:space="preserve">PAID SOCIAL REVENUE SHARE</t>
  </si>
  <si>
    <t xml:space="preserve">PROJECTED ROAS LIFT</t>
  </si>
  <si>
    <t xml:space="preserve">TOP CHANNEL: FIRST-TOUCH</t>
  </si>
  <si>
    <t xml:space="preserve">Month</t>
  </si>
  <si>
    <t xml:space="preserve">Channel</t>
  </si>
  <si>
    <t xml:space="preserve">Spend</t>
  </si>
  <si>
    <t xml:space="preserve">Impressions</t>
  </si>
  <si>
    <t xml:space="preserve">Clicks</t>
  </si>
  <si>
    <t xml:space="preserve">Conversions</t>
  </si>
  <si>
    <t xml:space="preserve">Revenue</t>
  </si>
  <si>
    <t xml:space="preserve">CAC</t>
  </si>
  <si>
    <t xml:space="preserve">ROAS</t>
  </si>
  <si>
    <t xml:space="preserve">ConversionRate</t>
  </si>
  <si>
    <t xml:space="preserve">2024-01</t>
  </si>
  <si>
    <t xml:space="preserve">Email</t>
  </si>
  <si>
    <t xml:space="preserve">Paid Search</t>
  </si>
  <si>
    <t xml:space="preserve">Paid Social</t>
  </si>
  <si>
    <t xml:space="preserve">SEO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</si>
  <si>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</si>
  <si>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</si>
  <si>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</si>
  <si>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</si>
  <si>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</si>
  <si>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</si>
  <si>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</si>
  <si>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</si>
  <si>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</si>
  <si>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</si>
  <si>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</si>
  <si>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</si>
  <si>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</si>
  <si>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</si>
  <si>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</si>
  <si>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</si>
  <si>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</si>
  <si>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</si>
  <si>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</si>
  <si>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</si>
  <si>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</si>
  <si>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TotalSpend</t>
  </si>
  <si>
    <t xml:space="preserve">TotalRevenue</t>
  </si>
  <si>
    <t xml:space="preserve">TotalConversions</t>
  </si>
  <si>
    <t xml:space="preserve">SpendSharePct</t>
  </si>
  <si>
    <t xml:space="preserve">RevenueSharePct</t>
  </si>
  <si>
    <t xml:space="preserve">FirstTouchRevenue</t>
  </si>
  <si>
    <t xml:space="preserve">LastTouchRevenue</t>
  </si>
  <si>
    <t xml:space="preserve">LinearRevenue</t>
  </si>
  <si>
    <t xml:space="preserve">FirstVsLast_PctDiff</t>
  </si>
  <si>
    <t xml:space="preserve">SCENARIO: Shift Budget from Paid Social (saturated) to Email (headroom)</t>
  </si>
  <si>
    <t xml:space="preserve">Current Blended ROAS</t>
  </si>
  <si>
    <t xml:space="preserve">Budget Shift Amount (€)</t>
  </si>
  <si>
    <t xml:space="preserve">Paid Social Marginal ROAS (late period)</t>
  </si>
  <si>
    <t xml:space="preserve">Email Conservative Incremental ROAS</t>
  </si>
  <si>
    <t xml:space="preserve">Paid Social Revenue Lost (€)</t>
  </si>
  <si>
    <t xml:space="preserve">Email Revenue Gained (€)</t>
  </si>
  <si>
    <t xml:space="preserve">New Blended ROAS</t>
  </si>
  <si>
    <t xml:space="preserve">Projected ROAS Lift (%)</t>
  </si>
  <si>
    <t xml:space="preserve">Note: Email's incremental ROAS is deliberately capped well below its observed ~148x average (a conservative ~1/3 discount) to account for list-size and deliverability limits not captured in this dataset.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</si>
</sst>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\x"/>
    <numFmt numFmtId="166" formatCode="0.0\%"/>
    <numFmt numFmtId="167" formatCode="@"/>
    <numFmt numFmtId="168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2"/>
      <color rgb="FFB08D57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B08D5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B08D57"/>
      <name val="Arial"/>
      <family val="0"/>
      <charset val="1"/>
    </font>
    <font>
      <b val="true"/>
      <sz val="15"/>
      <color rgb="FFE34948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E34948"/>
      <rgbColor rgb="FF666666"/>
      <rgbColor rgb="FFB08D5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ROAS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Channel_Summary!F1</c:f>
              <c:strCache>
                <c:ptCount val="1"/>
                <c:pt idx="0">
                  <c:v>ROAS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Channel_Summary!$A$2:$A$5</c:f>
              <c:strCache>
                <c:ptCount val="4"/>
                <c:pt idx="0">
                  <c:v>Email</c:v>
                </c:pt>
                <c:pt idx="1">
                  <c:v>Paid Search</c:v>
                </c:pt>
                <c:pt idx="2">
                  <c:v>Paid Social</c:v>
                </c:pt>
                <c:pt idx="3">
                  <c:v>SEO</c:v>
                </c:pt>
              </c:strCache>
            </c:strRef>
          </c:cat>
          <c:val>
            <c:numRef>
              <c:f>Channel_Summary!$F$2:$F$5</c:f>
              <c:numCache>
                <c:formatCode>General</c:formatCode>
                <c:ptCount val="4"/>
                <c:pt idx="0">
                  <c:v>148.01</c:v>
                </c:pt>
                <c:pt idx="1">
                  <c:v>5.25</c:v>
                </c:pt>
                <c:pt idx="2">
                  <c:v>2.28</c:v>
                </c:pt>
                <c:pt idx="3">
                  <c:v>50.6</c:v>
                </c:pt>
              </c:numCache>
            </c:numRef>
          </c:val>
        </c:ser>
        <c:gapWidth val="150"/>
        <c:overlap val="0"/>
        <c:axId val="26224923"/>
        <c:axId val="7336023"/>
      </c:barChart>
      <c:catAx>
        <c:axId val="262249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36023"/>
        <c:crosses val="autoZero"/>
        <c:auto val="1"/>
        <c:lblAlgn val="ctr"/>
        <c:lblOffset val="100"/>
        <c:noMultiLvlLbl val="0"/>
      </c:catAx>
      <c:valAx>
        <c:axId val="73360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ROAS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2249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First-Touch vs. Last-Touch Revenue Credit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Attribution_Comparison!B1</c:f>
              <c:strCache>
                <c:ptCount val="1"/>
                <c:pt idx="0">
                  <c:v>FirstTouchRevenue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Attribution_Comparison!$A$2:$A$5</c:f>
              <c:strCache>
                <c:ptCount val="4"/>
                <c:pt idx="0">
                  <c:v>Email</c:v>
                </c:pt>
                <c:pt idx="1">
                  <c:v>Paid Search</c:v>
                </c:pt>
                <c:pt idx="2">
                  <c:v>Paid Social</c:v>
                </c:pt>
                <c:pt idx="3">
                  <c:v>SEO</c:v>
                </c:pt>
              </c:strCache>
            </c:strRef>
          </c:cat>
          <c:val>
            <c:numRef>
              <c:f>Attribution_Comparison!$B$2:$B$5</c:f>
              <c:numCache>
                <c:formatCode>General</c:formatCode>
                <c:ptCount val="4"/>
                <c:pt idx="0">
                  <c:v>89074</c:v>
                </c:pt>
                <c:pt idx="1">
                  <c:v>110257</c:v>
                </c:pt>
                <c:pt idx="2">
                  <c:v>233750</c:v>
                </c:pt>
                <c:pt idx="3">
                  <c:v>284357</c:v>
                </c:pt>
              </c:numCache>
            </c:numRef>
          </c:val>
        </c:ser>
        <c:ser>
          <c:idx val="1"/>
          <c:order val="1"/>
          <c:tx>
            <c:strRef>
              <c:f>Attribution_Comparison!C1</c:f>
              <c:strCache>
                <c:ptCount val="1"/>
                <c:pt idx="0">
                  <c:v>LastTouchRevenue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Attribution_Comparison!$A$2:$A$5</c:f>
              <c:strCache>
                <c:ptCount val="4"/>
                <c:pt idx="0">
                  <c:v>Email</c:v>
                </c:pt>
                <c:pt idx="1">
                  <c:v>Paid Search</c:v>
                </c:pt>
                <c:pt idx="2">
                  <c:v>Paid Social</c:v>
                </c:pt>
                <c:pt idx="3">
                  <c:v>SEO</c:v>
                </c:pt>
              </c:strCache>
            </c:strRef>
          </c:cat>
          <c:val>
            <c:numRef>
              <c:f>Attribution_Comparison!$C$2:$C$5</c:f>
              <c:numCache>
                <c:formatCode>General</c:formatCode>
                <c:ptCount val="4"/>
                <c:pt idx="0">
                  <c:v>275957</c:v>
                </c:pt>
                <c:pt idx="1">
                  <c:v>210363</c:v>
                </c:pt>
                <c:pt idx="2">
                  <c:v>120582</c:v>
                </c:pt>
                <c:pt idx="3">
                  <c:v>110536</c:v>
                </c:pt>
              </c:numCache>
            </c:numRef>
          </c:val>
        </c:ser>
        <c:gapWidth val="150"/>
        <c:overlap val="0"/>
        <c:axId val="64329028"/>
        <c:axId val="67604562"/>
      </c:barChart>
      <c:catAx>
        <c:axId val="643290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604562"/>
        <c:crosses val="autoZero"/>
        <c:auto val="1"/>
        <c:lblAlgn val="ctr"/>
        <c:lblOffset val="100"/>
        <c:noMultiLvlLbl val="0"/>
      </c:catAx>
      <c:valAx>
        <c:axId val="676045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3290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100800</xdr:rowOff>
    </xdr:from>
    <xdr:to>
      <xdr:col>6</xdr:col>
      <xdr:colOff>473400</xdr:colOff>
      <xdr:row>25</xdr:row>
      <xdr:rowOff>102240</xdr:rowOff>
    </xdr:to>
    <xdr:graphicFrame>
      <xdr:nvGraphicFramePr>
        <xdr:cNvPr id="0" name="Chart 1"/>
        <xdr:cNvGraphicFramePr/>
      </xdr:nvGraphicFramePr>
      <xdr:xfrm>
        <a:off x="1057320" y="18288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27</xdr:row>
      <xdr:rowOff>100800</xdr:rowOff>
    </xdr:from>
    <xdr:to>
      <xdr:col>6</xdr:col>
      <xdr:colOff>473400</xdr:colOff>
      <xdr:row>44</xdr:row>
      <xdr:rowOff>101880</xdr:rowOff>
    </xdr:to>
    <xdr:graphicFrame>
      <xdr:nvGraphicFramePr>
        <xdr:cNvPr id="1" name="Chart 2"/>
        <xdr:cNvGraphicFramePr/>
      </xdr:nvGraphicFramePr>
      <xdr:xfrm>
        <a:off x="1057320" y="54482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5"/>
  </cols>
  <sheetData>
    <row r="2" customFormat="false" ht="22.0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</row>
    <row r="5" customFormat="false" ht="15" hidden="false" customHeight="true" outlineLevel="0" collapsed="false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  <c r="J5" s="3" t="s">
        <v>6</v>
      </c>
      <c r="K5" s="3"/>
    </row>
    <row r="6" customFormat="false" ht="19.5" hidden="false" customHeight="true" outlineLevel="0" collapsed="false">
      <c r="B6" s="4" t="n">
        <f aca="false">Reallocation_Scenario!B3</f>
        <v>9.81</v>
      </c>
      <c r="C6" s="4"/>
      <c r="D6" s="5" t="n">
        <f aca="false">Channel_Summary!G4</f>
        <v>71</v>
      </c>
      <c r="E6" s="5"/>
      <c r="F6" s="5" t="n">
        <f aca="false">Channel_Summary!H4</f>
        <v>16.5</v>
      </c>
      <c r="G6" s="5"/>
      <c r="H6" s="5" t="n">
        <f aca="false">Reallocation_Scenario!B10</f>
        <v>17.2</v>
      </c>
      <c r="I6" s="5"/>
      <c r="J6" s="6" t="str">
        <f aca="false">INDEX(Attribution_Comparison!A2:A5,MATCH(MAX(Attribution_Comparison!B2:B5),Attribution_Comparison!B2:B5,0))</f>
        <v>SEO</v>
      </c>
      <c r="K6" s="6"/>
    </row>
    <row r="7" customFormat="false" ht="19.5" hidden="false" customHeight="true" outlineLevel="0" collapsed="false">
      <c r="B7" s="4"/>
      <c r="C7" s="4"/>
      <c r="D7" s="5"/>
      <c r="E7" s="5"/>
      <c r="F7" s="5"/>
      <c r="G7" s="5"/>
      <c r="H7" s="5"/>
      <c r="I7" s="5"/>
      <c r="J7" s="6"/>
      <c r="K7" s="6"/>
    </row>
  </sheetData>
  <mergeCells count="12">
    <mergeCell ref="B2:K2"/>
    <mergeCell ref="B3:K3"/>
    <mergeCell ref="B5:C5"/>
    <mergeCell ref="D5:E5"/>
    <mergeCell ref="F5:G5"/>
    <mergeCell ref="H5:I5"/>
    <mergeCell ref="J5:K5"/>
    <mergeCell ref="B6:C7"/>
    <mergeCell ref="D6:E7"/>
    <mergeCell ref="F6:G7"/>
    <mergeCell ref="H6:I7"/>
    <mergeCell ref="J6:K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4"/>
  </cols>
  <sheetData>
    <row r="1" customFormat="false" ht="15" hidden="false" customHeight="false" outlineLevel="0" collapsed="false">
      <c r="A1" s="7" t="s">
        <v>7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7" t="s">
        <v>13</v>
      </c>
      <c r="H1" s="7" t="s">
        <v>14</v>
      </c>
      <c r="I1" s="7" t="s">
        <v>15</v>
      </c>
      <c r="J1" s="7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  <c r="C2" s="0" t="n">
        <v>2679.24</v>
      </c>
      <c r="D2" s="0" t="n">
        <v>2240449</v>
      </c>
      <c r="E2" s="0" t="n">
        <v>101034</v>
      </c>
      <c r="F2" s="0" t="n">
        <v>6688</v>
      </c>
      <c r="G2" s="0" t="n">
        <v>404127.1</v>
      </c>
      <c r="H2" s="0" t="n">
        <v>0.4</v>
      </c>
      <c r="I2" s="0" t="n">
        <v>150.836</v>
      </c>
      <c r="J2" s="0" t="n">
        <v>6.62</v>
      </c>
    </row>
    <row r="3" customFormat="false" ht="15" hidden="false" customHeight="false" outlineLevel="0" collapsed="false">
      <c r="A3" s="0" t="s">
        <v>17</v>
      </c>
      <c r="B3" s="0" t="s">
        <v>19</v>
      </c>
      <c r="C3" s="0" t="n">
        <v>18863.89</v>
      </c>
      <c r="D3" s="0" t="n">
        <v>852716</v>
      </c>
      <c r="E3" s="0" t="n">
        <v>29850</v>
      </c>
      <c r="F3" s="0" t="n">
        <v>1339</v>
      </c>
      <c r="G3" s="0" t="n">
        <v>100591.25</v>
      </c>
      <c r="H3" s="0" t="n">
        <v>14.09</v>
      </c>
      <c r="I3" s="0" t="n">
        <v>5.332</v>
      </c>
      <c r="J3" s="0" t="n">
        <v>4.486</v>
      </c>
    </row>
    <row r="4" customFormat="false" ht="15" hidden="false" customHeight="false" outlineLevel="0" collapsed="false">
      <c r="A4" s="0" t="s">
        <v>17</v>
      </c>
      <c r="B4" s="0" t="s">
        <v>20</v>
      </c>
      <c r="C4" s="0" t="n">
        <v>27849.96</v>
      </c>
      <c r="D4" s="0" t="n">
        <v>3173132</v>
      </c>
      <c r="E4" s="0" t="n">
        <v>38150</v>
      </c>
      <c r="F4" s="0" t="n">
        <v>1066</v>
      </c>
      <c r="G4" s="0" t="n">
        <v>72061.85</v>
      </c>
      <c r="H4" s="0" t="n">
        <v>26.13</v>
      </c>
      <c r="I4" s="0" t="n">
        <v>2.588</v>
      </c>
      <c r="J4" s="0" t="n">
        <v>2.794</v>
      </c>
    </row>
    <row r="5" customFormat="false" ht="15" hidden="false" customHeight="false" outlineLevel="0" collapsed="false">
      <c r="A5" s="0" t="s">
        <v>17</v>
      </c>
      <c r="B5" s="0" t="s">
        <v>21</v>
      </c>
      <c r="C5" s="0" t="n">
        <v>5204.48</v>
      </c>
      <c r="D5" s="0" t="n">
        <v>5778522</v>
      </c>
      <c r="E5" s="0" t="n">
        <v>117889</v>
      </c>
      <c r="F5" s="0" t="n">
        <v>3641</v>
      </c>
      <c r="G5" s="0" t="n">
        <v>257143.98</v>
      </c>
      <c r="H5" s="0" t="n">
        <v>1.43</v>
      </c>
      <c r="I5" s="0" t="n">
        <v>49.408</v>
      </c>
      <c r="J5" s="0" t="n">
        <v>3.088</v>
      </c>
    </row>
    <row r="6" customFormat="false" ht="15" hidden="false" customHeight="false" outlineLevel="0" collapsed="false">
      <c r="A6" s="0" t="s">
        <v>22</v>
      </c>
      <c r="B6" s="0" t="s">
        <v>18</v>
      </c>
      <c r="C6" s="0" t="n">
        <v>2485.15</v>
      </c>
      <c r="D6" s="0" t="n">
        <v>2074080</v>
      </c>
      <c r="E6" s="0" t="n">
        <v>92420</v>
      </c>
      <c r="F6" s="0" t="n">
        <v>6250</v>
      </c>
      <c r="G6" s="0" t="n">
        <v>377743.63</v>
      </c>
      <c r="H6" s="0" t="n">
        <v>0.4</v>
      </c>
      <c r="I6" s="0" t="n">
        <v>152</v>
      </c>
      <c r="J6" s="0" t="n">
        <v>6.763</v>
      </c>
    </row>
    <row r="7" customFormat="false" ht="15" hidden="false" customHeight="false" outlineLevel="0" collapsed="false">
      <c r="A7" s="0" t="s">
        <v>22</v>
      </c>
      <c r="B7" s="0" t="s">
        <v>19</v>
      </c>
      <c r="C7" s="0" t="n">
        <v>17945.72</v>
      </c>
      <c r="D7" s="0" t="n">
        <v>816504</v>
      </c>
      <c r="E7" s="0" t="n">
        <v>28600</v>
      </c>
      <c r="F7" s="0" t="n">
        <v>1277</v>
      </c>
      <c r="G7" s="0" t="n">
        <v>94214.02</v>
      </c>
      <c r="H7" s="0" t="n">
        <v>14.05</v>
      </c>
      <c r="I7" s="0" t="n">
        <v>5.25</v>
      </c>
      <c r="J7" s="0" t="n">
        <v>4.465</v>
      </c>
    </row>
    <row r="8" customFormat="false" ht="15" hidden="false" customHeight="false" outlineLevel="0" collapsed="false">
      <c r="A8" s="0" t="s">
        <v>22</v>
      </c>
      <c r="B8" s="0" t="s">
        <v>20</v>
      </c>
      <c r="C8" s="0" t="n">
        <v>29919.01</v>
      </c>
      <c r="D8" s="0" t="n">
        <v>3511428</v>
      </c>
      <c r="E8" s="0" t="n">
        <v>43738</v>
      </c>
      <c r="F8" s="0" t="n">
        <v>1215</v>
      </c>
      <c r="G8" s="0" t="n">
        <v>82642.88</v>
      </c>
      <c r="H8" s="0" t="n">
        <v>24.62</v>
      </c>
      <c r="I8" s="0" t="n">
        <v>2.762</v>
      </c>
      <c r="J8" s="0" t="n">
        <v>2.778</v>
      </c>
    </row>
    <row r="9" customFormat="false" ht="15" hidden="false" customHeight="false" outlineLevel="0" collapsed="false">
      <c r="A9" s="0" t="s">
        <v>22</v>
      </c>
      <c r="B9" s="0" t="s">
        <v>21</v>
      </c>
      <c r="C9" s="0" t="n">
        <v>5050.91</v>
      </c>
      <c r="D9" s="0" t="n">
        <v>5598920</v>
      </c>
      <c r="E9" s="0" t="n">
        <v>118254</v>
      </c>
      <c r="F9" s="0" t="n">
        <v>3656</v>
      </c>
      <c r="G9" s="0" t="n">
        <v>253331.99</v>
      </c>
      <c r="H9" s="0" t="n">
        <v>1.38</v>
      </c>
      <c r="I9" s="0" t="n">
        <v>50.156</v>
      </c>
      <c r="J9" s="0" t="n">
        <v>3.092</v>
      </c>
    </row>
    <row r="10" customFormat="false" ht="15" hidden="false" customHeight="false" outlineLevel="0" collapsed="false">
      <c r="A10" s="0" t="s">
        <v>23</v>
      </c>
      <c r="B10" s="0" t="s">
        <v>18</v>
      </c>
      <c r="C10" s="0" t="n">
        <v>2645.35</v>
      </c>
      <c r="D10" s="0" t="n">
        <v>2175371</v>
      </c>
      <c r="E10" s="0" t="n">
        <v>96524</v>
      </c>
      <c r="F10" s="0" t="n">
        <v>6300</v>
      </c>
      <c r="G10" s="0" t="n">
        <v>387389.53</v>
      </c>
      <c r="H10" s="0" t="n">
        <v>0.42</v>
      </c>
      <c r="I10" s="0" t="n">
        <v>146.442</v>
      </c>
      <c r="J10" s="0" t="n">
        <v>6.527</v>
      </c>
    </row>
    <row r="11" customFormat="false" ht="15" hidden="false" customHeight="false" outlineLevel="0" collapsed="false">
      <c r="A11" s="0" t="s">
        <v>23</v>
      </c>
      <c r="B11" s="0" t="s">
        <v>19</v>
      </c>
      <c r="C11" s="0" t="n">
        <v>18693.14</v>
      </c>
      <c r="D11" s="0" t="n">
        <v>851303</v>
      </c>
      <c r="E11" s="0" t="n">
        <v>30592</v>
      </c>
      <c r="F11" s="0" t="n">
        <v>1372</v>
      </c>
      <c r="G11" s="0" t="n">
        <v>99840.77</v>
      </c>
      <c r="H11" s="0" t="n">
        <v>13.62</v>
      </c>
      <c r="I11" s="0" t="n">
        <v>5.341</v>
      </c>
      <c r="J11" s="0" t="n">
        <v>4.485</v>
      </c>
    </row>
    <row r="12" customFormat="false" ht="15" hidden="false" customHeight="false" outlineLevel="0" collapsed="false">
      <c r="A12" s="0" t="s">
        <v>23</v>
      </c>
      <c r="B12" s="0" t="s">
        <v>20</v>
      </c>
      <c r="C12" s="0" t="n">
        <v>36259.16</v>
      </c>
      <c r="D12" s="0" t="n">
        <v>4266597</v>
      </c>
      <c r="E12" s="0" t="n">
        <v>51228</v>
      </c>
      <c r="F12" s="0" t="n">
        <v>1447</v>
      </c>
      <c r="G12" s="0" t="n">
        <v>97172.34</v>
      </c>
      <c r="H12" s="0" t="n">
        <v>25.06</v>
      </c>
      <c r="I12" s="0" t="n">
        <v>2.68</v>
      </c>
      <c r="J12" s="0" t="n">
        <v>2.825</v>
      </c>
    </row>
    <row r="13" customFormat="false" ht="15" hidden="false" customHeight="false" outlineLevel="0" collapsed="false">
      <c r="A13" s="0" t="s">
        <v>23</v>
      </c>
      <c r="B13" s="0" t="s">
        <v>21</v>
      </c>
      <c r="C13" s="0" t="n">
        <v>5195.17</v>
      </c>
      <c r="D13" s="0" t="n">
        <v>5849289</v>
      </c>
      <c r="E13" s="0" t="n">
        <v>123478</v>
      </c>
      <c r="F13" s="0" t="n">
        <v>3870</v>
      </c>
      <c r="G13" s="0" t="n">
        <v>271980.2</v>
      </c>
      <c r="H13" s="0" t="n">
        <v>1.34</v>
      </c>
      <c r="I13" s="0" t="n">
        <v>52.353</v>
      </c>
      <c r="J13" s="0" t="n">
        <v>3.134</v>
      </c>
    </row>
    <row r="14" customFormat="false" ht="15" hidden="false" customHeight="false" outlineLevel="0" collapsed="false">
      <c r="A14" s="0" t="s">
        <v>24</v>
      </c>
      <c r="B14" s="0" t="s">
        <v>18</v>
      </c>
      <c r="C14" s="0" t="n">
        <v>2628.1</v>
      </c>
      <c r="D14" s="0" t="n">
        <v>2237655</v>
      </c>
      <c r="E14" s="0" t="n">
        <v>101561</v>
      </c>
      <c r="F14" s="0" t="n">
        <v>6555</v>
      </c>
      <c r="G14" s="0" t="n">
        <v>400958.73</v>
      </c>
      <c r="H14" s="0" t="n">
        <v>0.4</v>
      </c>
      <c r="I14" s="0" t="n">
        <v>152.566</v>
      </c>
      <c r="J14" s="0" t="n">
        <v>6.454</v>
      </c>
    </row>
    <row r="15" customFormat="false" ht="15" hidden="false" customHeight="false" outlineLevel="0" collapsed="false">
      <c r="A15" s="0" t="s">
        <v>24</v>
      </c>
      <c r="B15" s="0" t="s">
        <v>19</v>
      </c>
      <c r="C15" s="0" t="n">
        <v>19057.84</v>
      </c>
      <c r="D15" s="0" t="n">
        <v>842915</v>
      </c>
      <c r="E15" s="0" t="n">
        <v>29694</v>
      </c>
      <c r="F15" s="0" t="n">
        <v>1333</v>
      </c>
      <c r="G15" s="0" t="n">
        <v>99982.51</v>
      </c>
      <c r="H15" s="0" t="n">
        <v>14.3</v>
      </c>
      <c r="I15" s="0" t="n">
        <v>5.246</v>
      </c>
      <c r="J15" s="0" t="n">
        <v>4.489</v>
      </c>
    </row>
    <row r="16" customFormat="false" ht="15" hidden="false" customHeight="false" outlineLevel="0" collapsed="false">
      <c r="A16" s="0" t="s">
        <v>24</v>
      </c>
      <c r="B16" s="0" t="s">
        <v>20</v>
      </c>
      <c r="C16" s="0" t="n">
        <v>38470.9</v>
      </c>
      <c r="D16" s="0" t="n">
        <v>4420137</v>
      </c>
      <c r="E16" s="0" t="n">
        <v>52685</v>
      </c>
      <c r="F16" s="0" t="n">
        <v>1438</v>
      </c>
      <c r="G16" s="0" t="n">
        <v>96494.74</v>
      </c>
      <c r="H16" s="0" t="n">
        <v>26.75</v>
      </c>
      <c r="I16" s="0" t="n">
        <v>2.508</v>
      </c>
      <c r="J16" s="0" t="n">
        <v>2.729</v>
      </c>
    </row>
    <row r="17" customFormat="false" ht="15" hidden="false" customHeight="false" outlineLevel="0" collapsed="false">
      <c r="A17" s="0" t="s">
        <v>24</v>
      </c>
      <c r="B17" s="0" t="s">
        <v>21</v>
      </c>
      <c r="C17" s="0" t="n">
        <v>5158.38</v>
      </c>
      <c r="D17" s="0" t="n">
        <v>5738997</v>
      </c>
      <c r="E17" s="0" t="n">
        <v>119262</v>
      </c>
      <c r="F17" s="0" t="n">
        <v>3714</v>
      </c>
      <c r="G17" s="0" t="n">
        <v>260813.65</v>
      </c>
      <c r="H17" s="0" t="n">
        <v>1.39</v>
      </c>
      <c r="I17" s="0" t="n">
        <v>50.561</v>
      </c>
      <c r="J17" s="0" t="n">
        <v>3.114</v>
      </c>
    </row>
    <row r="18" customFormat="false" ht="15" hidden="false" customHeight="false" outlineLevel="0" collapsed="false">
      <c r="A18" s="0" t="s">
        <v>25</v>
      </c>
      <c r="B18" s="0" t="s">
        <v>18</v>
      </c>
      <c r="C18" s="0" t="n">
        <v>2689.62</v>
      </c>
      <c r="D18" s="0" t="n">
        <v>2266652</v>
      </c>
      <c r="E18" s="0" t="n">
        <v>102286</v>
      </c>
      <c r="F18" s="0" t="n">
        <v>6649</v>
      </c>
      <c r="G18" s="0" t="n">
        <v>403432.65</v>
      </c>
      <c r="H18" s="0" t="n">
        <v>0.4</v>
      </c>
      <c r="I18" s="0" t="n">
        <v>149.996</v>
      </c>
      <c r="J18" s="0" t="n">
        <v>6.5</v>
      </c>
    </row>
    <row r="19" customFormat="false" ht="15" hidden="false" customHeight="false" outlineLevel="0" collapsed="false">
      <c r="A19" s="0" t="s">
        <v>25</v>
      </c>
      <c r="B19" s="0" t="s">
        <v>19</v>
      </c>
      <c r="C19" s="0" t="n">
        <v>19209.58</v>
      </c>
      <c r="D19" s="0" t="n">
        <v>867011</v>
      </c>
      <c r="E19" s="0" t="n">
        <v>30498</v>
      </c>
      <c r="F19" s="0" t="n">
        <v>1334</v>
      </c>
      <c r="G19" s="0" t="n">
        <v>97645.43</v>
      </c>
      <c r="H19" s="0" t="n">
        <v>14.4</v>
      </c>
      <c r="I19" s="0" t="n">
        <v>5.083</v>
      </c>
      <c r="J19" s="0" t="n">
        <v>4.374</v>
      </c>
    </row>
    <row r="20" customFormat="false" ht="15" hidden="false" customHeight="false" outlineLevel="0" collapsed="false">
      <c r="A20" s="0" t="s">
        <v>25</v>
      </c>
      <c r="B20" s="0" t="s">
        <v>20</v>
      </c>
      <c r="C20" s="0" t="n">
        <v>44093.05</v>
      </c>
      <c r="D20" s="0" t="n">
        <v>5108053</v>
      </c>
      <c r="E20" s="0" t="n">
        <v>60732</v>
      </c>
      <c r="F20" s="0" t="n">
        <v>1665</v>
      </c>
      <c r="G20" s="0" t="n">
        <v>111898.81</v>
      </c>
      <c r="H20" s="0" t="n">
        <v>26.48</v>
      </c>
      <c r="I20" s="0" t="n">
        <v>2.538</v>
      </c>
      <c r="J20" s="0" t="n">
        <v>2.742</v>
      </c>
    </row>
    <row r="21" customFormat="false" ht="15" hidden="false" customHeight="false" outlineLevel="0" collapsed="false">
      <c r="A21" s="0" t="s">
        <v>25</v>
      </c>
      <c r="B21" s="0" t="s">
        <v>21</v>
      </c>
      <c r="C21" s="0" t="n">
        <v>5321.8</v>
      </c>
      <c r="D21" s="0" t="n">
        <v>5856492</v>
      </c>
      <c r="E21" s="0" t="n">
        <v>123769</v>
      </c>
      <c r="F21" s="0" t="n">
        <v>3803</v>
      </c>
      <c r="G21" s="0" t="n">
        <v>264343.25</v>
      </c>
      <c r="H21" s="0" t="n">
        <v>1.4</v>
      </c>
      <c r="I21" s="0" t="n">
        <v>49.672</v>
      </c>
      <c r="J21" s="0" t="n">
        <v>3.073</v>
      </c>
    </row>
    <row r="22" customFormat="false" ht="15" hidden="false" customHeight="false" outlineLevel="0" collapsed="false">
      <c r="A22" s="0" t="s">
        <v>26</v>
      </c>
      <c r="B22" s="0" t="s">
        <v>18</v>
      </c>
      <c r="C22" s="0" t="n">
        <v>2537.72</v>
      </c>
      <c r="D22" s="0" t="n">
        <v>2135050</v>
      </c>
      <c r="E22" s="0" t="n">
        <v>96123</v>
      </c>
      <c r="F22" s="0" t="n">
        <v>6314</v>
      </c>
      <c r="G22" s="0" t="n">
        <v>377679.32</v>
      </c>
      <c r="H22" s="0" t="n">
        <v>0.4</v>
      </c>
      <c r="I22" s="0" t="n">
        <v>148.826</v>
      </c>
      <c r="J22" s="0" t="n">
        <v>6.569</v>
      </c>
    </row>
    <row r="23" customFormat="false" ht="15" hidden="false" customHeight="false" outlineLevel="0" collapsed="false">
      <c r="A23" s="0" t="s">
        <v>26</v>
      </c>
      <c r="B23" s="0" t="s">
        <v>19</v>
      </c>
      <c r="C23" s="0" t="n">
        <v>18801.06</v>
      </c>
      <c r="D23" s="0" t="n">
        <v>856575</v>
      </c>
      <c r="E23" s="0" t="n">
        <v>30094</v>
      </c>
      <c r="F23" s="0" t="n">
        <v>1357</v>
      </c>
      <c r="G23" s="0" t="n">
        <v>101503.05</v>
      </c>
      <c r="H23" s="0" t="n">
        <v>13.85</v>
      </c>
      <c r="I23" s="0" t="n">
        <v>5.399</v>
      </c>
      <c r="J23" s="0" t="n">
        <v>4.509</v>
      </c>
    </row>
    <row r="24" customFormat="false" ht="15" hidden="false" customHeight="false" outlineLevel="0" collapsed="false">
      <c r="A24" s="0" t="s">
        <v>26</v>
      </c>
      <c r="B24" s="0" t="s">
        <v>20</v>
      </c>
      <c r="C24" s="0" t="n">
        <v>45502.41</v>
      </c>
      <c r="D24" s="0" t="n">
        <v>5378776</v>
      </c>
      <c r="E24" s="0" t="n">
        <v>65393</v>
      </c>
      <c r="F24" s="0" t="n">
        <v>1761</v>
      </c>
      <c r="G24" s="0" t="n">
        <v>123254.45</v>
      </c>
      <c r="H24" s="0" t="n">
        <v>25.84</v>
      </c>
      <c r="I24" s="0" t="n">
        <v>2.709</v>
      </c>
      <c r="J24" s="0" t="n">
        <v>2.693</v>
      </c>
    </row>
    <row r="25" customFormat="false" ht="15" hidden="false" customHeight="false" outlineLevel="0" collapsed="false">
      <c r="A25" s="0" t="s">
        <v>26</v>
      </c>
      <c r="B25" s="0" t="s">
        <v>21</v>
      </c>
      <c r="C25" s="0" t="n">
        <v>5204.47</v>
      </c>
      <c r="D25" s="0" t="n">
        <v>5753806</v>
      </c>
      <c r="E25" s="0" t="n">
        <v>121860</v>
      </c>
      <c r="F25" s="0" t="n">
        <v>3750</v>
      </c>
      <c r="G25" s="0" t="n">
        <v>266316</v>
      </c>
      <c r="H25" s="0" t="n">
        <v>1.39</v>
      </c>
      <c r="I25" s="0" t="n">
        <v>51.171</v>
      </c>
      <c r="J25" s="0" t="n">
        <v>3.077</v>
      </c>
    </row>
    <row r="26" customFormat="false" ht="15" hidden="false" customHeight="false" outlineLevel="0" collapsed="false">
      <c r="A26" s="0" t="s">
        <v>27</v>
      </c>
      <c r="B26" s="0" t="s">
        <v>18</v>
      </c>
      <c r="C26" s="0" t="n">
        <v>2765.89</v>
      </c>
      <c r="D26" s="0" t="n">
        <v>2285189</v>
      </c>
      <c r="E26" s="0" t="n">
        <v>104134</v>
      </c>
      <c r="F26" s="0" t="n">
        <v>6882</v>
      </c>
      <c r="G26" s="0" t="n">
        <v>425040.08</v>
      </c>
      <c r="H26" s="0" t="n">
        <v>0.4</v>
      </c>
      <c r="I26" s="0" t="n">
        <v>153.672</v>
      </c>
      <c r="J26" s="0" t="n">
        <v>6.609</v>
      </c>
    </row>
    <row r="27" customFormat="false" ht="15" hidden="false" customHeight="false" outlineLevel="0" collapsed="false">
      <c r="A27" s="0" t="s">
        <v>27</v>
      </c>
      <c r="B27" s="0" t="s">
        <v>19</v>
      </c>
      <c r="C27" s="0" t="n">
        <v>18997.07</v>
      </c>
      <c r="D27" s="0" t="n">
        <v>863838</v>
      </c>
      <c r="E27" s="0" t="n">
        <v>30779</v>
      </c>
      <c r="F27" s="0" t="n">
        <v>1373</v>
      </c>
      <c r="G27" s="0" t="n">
        <v>102060.24</v>
      </c>
      <c r="H27" s="0" t="n">
        <v>13.84</v>
      </c>
      <c r="I27" s="0" t="n">
        <v>5.372</v>
      </c>
      <c r="J27" s="0" t="n">
        <v>4.461</v>
      </c>
    </row>
    <row r="28" customFormat="false" ht="15" hidden="false" customHeight="false" outlineLevel="0" collapsed="false">
      <c r="A28" s="0" t="s">
        <v>27</v>
      </c>
      <c r="B28" s="0" t="s">
        <v>20</v>
      </c>
      <c r="C28" s="0" t="n">
        <v>51488.95</v>
      </c>
      <c r="D28" s="0" t="n">
        <v>5980013</v>
      </c>
      <c r="E28" s="0" t="n">
        <v>72376</v>
      </c>
      <c r="F28" s="0" t="n">
        <v>2026</v>
      </c>
      <c r="G28" s="0" t="n">
        <v>137913.27</v>
      </c>
      <c r="H28" s="0" t="n">
        <v>25.41</v>
      </c>
      <c r="I28" s="0" t="n">
        <v>2.679</v>
      </c>
      <c r="J28" s="0" t="n">
        <v>2.799</v>
      </c>
    </row>
    <row r="29" customFormat="false" ht="15" hidden="false" customHeight="false" outlineLevel="0" collapsed="false">
      <c r="A29" s="0" t="s">
        <v>27</v>
      </c>
      <c r="B29" s="0" t="s">
        <v>21</v>
      </c>
      <c r="C29" s="0" t="n">
        <v>5633.87</v>
      </c>
      <c r="D29" s="0" t="n">
        <v>6361592</v>
      </c>
      <c r="E29" s="0" t="n">
        <v>134517</v>
      </c>
      <c r="F29" s="0" t="n">
        <v>4116</v>
      </c>
      <c r="G29" s="0" t="n">
        <v>293186.06</v>
      </c>
      <c r="H29" s="0" t="n">
        <v>1.37</v>
      </c>
      <c r="I29" s="0" t="n">
        <v>52.04</v>
      </c>
      <c r="J29" s="0" t="n">
        <v>3.06</v>
      </c>
    </row>
    <row r="30" customFormat="false" ht="15" hidden="false" customHeight="false" outlineLevel="0" collapsed="false">
      <c r="A30" s="0" t="s">
        <v>28</v>
      </c>
      <c r="B30" s="0" t="s">
        <v>18</v>
      </c>
      <c r="C30" s="0" t="n">
        <v>2727.84</v>
      </c>
      <c r="D30" s="0" t="n">
        <v>2305473</v>
      </c>
      <c r="E30" s="0" t="n">
        <v>102482</v>
      </c>
      <c r="F30" s="0" t="n">
        <v>6384</v>
      </c>
      <c r="G30" s="0" t="n">
        <v>393240.9</v>
      </c>
      <c r="H30" s="0" t="n">
        <v>0.43</v>
      </c>
      <c r="I30" s="0" t="n">
        <v>144.158</v>
      </c>
      <c r="J30" s="0" t="n">
        <v>6.229</v>
      </c>
    </row>
    <row r="31" customFormat="false" ht="15" hidden="false" customHeight="false" outlineLevel="0" collapsed="false">
      <c r="A31" s="0" t="s">
        <v>28</v>
      </c>
      <c r="B31" s="0" t="s">
        <v>19</v>
      </c>
      <c r="C31" s="0" t="n">
        <v>19836.52</v>
      </c>
      <c r="D31" s="0" t="n">
        <v>901542</v>
      </c>
      <c r="E31" s="0" t="n">
        <v>32062</v>
      </c>
      <c r="F31" s="0" t="n">
        <v>1409</v>
      </c>
      <c r="G31" s="0" t="n">
        <v>103817.38</v>
      </c>
      <c r="H31" s="0" t="n">
        <v>14.08</v>
      </c>
      <c r="I31" s="0" t="n">
        <v>5.234</v>
      </c>
      <c r="J31" s="0" t="n">
        <v>4.395</v>
      </c>
    </row>
    <row r="32" customFormat="false" ht="15" hidden="false" customHeight="false" outlineLevel="0" collapsed="false">
      <c r="A32" s="0" t="s">
        <v>28</v>
      </c>
      <c r="B32" s="0" t="s">
        <v>20</v>
      </c>
      <c r="C32" s="0" t="n">
        <v>57592.92</v>
      </c>
      <c r="D32" s="0" t="n">
        <v>6778517</v>
      </c>
      <c r="E32" s="0" t="n">
        <v>80666</v>
      </c>
      <c r="F32" s="0" t="n">
        <v>2165</v>
      </c>
      <c r="G32" s="0" t="n">
        <v>147239.17</v>
      </c>
      <c r="H32" s="0" t="n">
        <v>26.6</v>
      </c>
      <c r="I32" s="0" t="n">
        <v>2.557</v>
      </c>
      <c r="J32" s="0" t="n">
        <v>2.684</v>
      </c>
    </row>
    <row r="33" customFormat="false" ht="15" hidden="false" customHeight="false" outlineLevel="0" collapsed="false">
      <c r="A33" s="0" t="s">
        <v>28</v>
      </c>
      <c r="B33" s="0" t="s">
        <v>21</v>
      </c>
      <c r="C33" s="0" t="n">
        <v>5385.15</v>
      </c>
      <c r="D33" s="0" t="n">
        <v>6046431</v>
      </c>
      <c r="E33" s="0" t="n">
        <v>129487</v>
      </c>
      <c r="F33" s="0" t="n">
        <v>4115</v>
      </c>
      <c r="G33" s="0" t="n">
        <v>288307.4</v>
      </c>
      <c r="H33" s="0" t="n">
        <v>1.31</v>
      </c>
      <c r="I33" s="0" t="n">
        <v>53.537</v>
      </c>
      <c r="J33" s="0" t="n">
        <v>3.178</v>
      </c>
    </row>
    <row r="34" customFormat="false" ht="15" hidden="false" customHeight="false" outlineLevel="0" collapsed="false">
      <c r="A34" s="0" t="s">
        <v>29</v>
      </c>
      <c r="B34" s="0" t="s">
        <v>18</v>
      </c>
      <c r="C34" s="0" t="n">
        <v>2706.98</v>
      </c>
      <c r="D34" s="0" t="n">
        <v>2319416</v>
      </c>
      <c r="E34" s="0" t="n">
        <v>104590</v>
      </c>
      <c r="F34" s="0" t="n">
        <v>6672</v>
      </c>
      <c r="G34" s="0" t="n">
        <v>402931.5</v>
      </c>
      <c r="H34" s="0" t="n">
        <v>0.41</v>
      </c>
      <c r="I34" s="0" t="n">
        <v>148.849</v>
      </c>
      <c r="J34" s="0" t="n">
        <v>6.379</v>
      </c>
    </row>
    <row r="35" customFormat="false" ht="15" hidden="false" customHeight="false" outlineLevel="0" collapsed="false">
      <c r="A35" s="0" t="s">
        <v>29</v>
      </c>
      <c r="B35" s="0" t="s">
        <v>19</v>
      </c>
      <c r="C35" s="0" t="n">
        <v>19275.2</v>
      </c>
      <c r="D35" s="0" t="n">
        <v>879244</v>
      </c>
      <c r="E35" s="0" t="n">
        <v>30800</v>
      </c>
      <c r="F35" s="0" t="n">
        <v>1405</v>
      </c>
      <c r="G35" s="0" t="n">
        <v>104187.78</v>
      </c>
      <c r="H35" s="0" t="n">
        <v>13.72</v>
      </c>
      <c r="I35" s="0" t="n">
        <v>5.405</v>
      </c>
      <c r="J35" s="0" t="n">
        <v>4.562</v>
      </c>
    </row>
    <row r="36" customFormat="false" ht="15" hidden="false" customHeight="false" outlineLevel="0" collapsed="false">
      <c r="A36" s="0" t="s">
        <v>29</v>
      </c>
      <c r="B36" s="0" t="s">
        <v>20</v>
      </c>
      <c r="C36" s="0" t="n">
        <v>58168.81</v>
      </c>
      <c r="D36" s="0" t="n">
        <v>6917279</v>
      </c>
      <c r="E36" s="0" t="n">
        <v>81098</v>
      </c>
      <c r="F36" s="0" t="n">
        <v>2129</v>
      </c>
      <c r="G36" s="0" t="n">
        <v>145682.8</v>
      </c>
      <c r="H36" s="0" t="n">
        <v>27.32</v>
      </c>
      <c r="I36" s="0" t="n">
        <v>2.504</v>
      </c>
      <c r="J36" s="0" t="n">
        <v>2.625</v>
      </c>
    </row>
    <row r="37" customFormat="false" ht="15" hidden="false" customHeight="false" outlineLevel="0" collapsed="false">
      <c r="A37" s="0" t="s">
        <v>29</v>
      </c>
      <c r="B37" s="0" t="s">
        <v>21</v>
      </c>
      <c r="C37" s="0" t="n">
        <v>5349.57</v>
      </c>
      <c r="D37" s="0" t="n">
        <v>6058742</v>
      </c>
      <c r="E37" s="0" t="n">
        <v>120949</v>
      </c>
      <c r="F37" s="0" t="n">
        <v>3669</v>
      </c>
      <c r="G37" s="0" t="n">
        <v>254337.07</v>
      </c>
      <c r="H37" s="0" t="n">
        <v>1.46</v>
      </c>
      <c r="I37" s="0" t="n">
        <v>47.543</v>
      </c>
      <c r="J37" s="0" t="n">
        <v>3.034</v>
      </c>
    </row>
    <row r="38" customFormat="false" ht="15" hidden="false" customHeight="false" outlineLevel="0" collapsed="false">
      <c r="A38" s="0" t="s">
        <v>30</v>
      </c>
      <c r="B38" s="0" t="s">
        <v>18</v>
      </c>
      <c r="C38" s="0" t="n">
        <v>2748.7</v>
      </c>
      <c r="D38" s="0" t="n">
        <v>2289191</v>
      </c>
      <c r="E38" s="0" t="n">
        <v>99840</v>
      </c>
      <c r="F38" s="0" t="n">
        <v>6368</v>
      </c>
      <c r="G38" s="0" t="n">
        <v>387367.78</v>
      </c>
      <c r="H38" s="0" t="n">
        <v>0.43</v>
      </c>
      <c r="I38" s="0" t="n">
        <v>140.928</v>
      </c>
      <c r="J38" s="0" t="n">
        <v>6.378</v>
      </c>
    </row>
    <row r="39" customFormat="false" ht="15" hidden="false" customHeight="false" outlineLevel="0" collapsed="false">
      <c r="A39" s="0" t="s">
        <v>30</v>
      </c>
      <c r="B39" s="0" t="s">
        <v>19</v>
      </c>
      <c r="C39" s="0" t="n">
        <v>19825.07</v>
      </c>
      <c r="D39" s="0" t="n">
        <v>896316</v>
      </c>
      <c r="E39" s="0" t="n">
        <v>31569</v>
      </c>
      <c r="F39" s="0" t="n">
        <v>1412</v>
      </c>
      <c r="G39" s="0" t="n">
        <v>103403.67</v>
      </c>
      <c r="H39" s="0" t="n">
        <v>14.04</v>
      </c>
      <c r="I39" s="0" t="n">
        <v>5.216</v>
      </c>
      <c r="J39" s="0" t="n">
        <v>4.473</v>
      </c>
    </row>
    <row r="40" customFormat="false" ht="15" hidden="false" customHeight="false" outlineLevel="0" collapsed="false">
      <c r="A40" s="0" t="s">
        <v>30</v>
      </c>
      <c r="B40" s="0" t="s">
        <v>20</v>
      </c>
      <c r="C40" s="0" t="n">
        <v>64454.66</v>
      </c>
      <c r="D40" s="0" t="n">
        <v>7656717</v>
      </c>
      <c r="E40" s="0" t="n">
        <v>92216</v>
      </c>
      <c r="F40" s="0" t="n">
        <v>2402</v>
      </c>
      <c r="G40" s="0" t="n">
        <v>164195.06</v>
      </c>
      <c r="H40" s="0" t="n">
        <v>26.83</v>
      </c>
      <c r="I40" s="0" t="n">
        <v>2.547</v>
      </c>
      <c r="J40" s="0" t="n">
        <v>2.605</v>
      </c>
    </row>
    <row r="41" customFormat="false" ht="15" hidden="false" customHeight="false" outlineLevel="0" collapsed="false">
      <c r="A41" s="0" t="s">
        <v>30</v>
      </c>
      <c r="B41" s="0" t="s">
        <v>21</v>
      </c>
      <c r="C41" s="0" t="n">
        <v>5706.94</v>
      </c>
      <c r="D41" s="0" t="n">
        <v>6300203</v>
      </c>
      <c r="E41" s="0" t="n">
        <v>133998</v>
      </c>
      <c r="F41" s="0" t="n">
        <v>4170</v>
      </c>
      <c r="G41" s="0" t="n">
        <v>292418.84</v>
      </c>
      <c r="H41" s="0" t="n">
        <v>1.37</v>
      </c>
      <c r="I41" s="0" t="n">
        <v>51.239</v>
      </c>
      <c r="J41" s="0" t="n">
        <v>3.112</v>
      </c>
    </row>
    <row r="42" customFormat="false" ht="15" hidden="false" customHeight="false" outlineLevel="0" collapsed="false">
      <c r="A42" s="0" t="s">
        <v>31</v>
      </c>
      <c r="B42" s="0" t="s">
        <v>18</v>
      </c>
      <c r="C42" s="0" t="n">
        <v>2733.16</v>
      </c>
      <c r="D42" s="0" t="n">
        <v>2298263</v>
      </c>
      <c r="E42" s="0" t="n">
        <v>105299</v>
      </c>
      <c r="F42" s="0" t="n">
        <v>6950</v>
      </c>
      <c r="G42" s="0" t="n">
        <v>410675.67</v>
      </c>
      <c r="H42" s="0" t="n">
        <v>0.39</v>
      </c>
      <c r="I42" s="0" t="n">
        <v>150.257</v>
      </c>
      <c r="J42" s="0" t="n">
        <v>6.6</v>
      </c>
    </row>
    <row r="43" customFormat="false" ht="15" hidden="false" customHeight="false" outlineLevel="0" collapsed="false">
      <c r="A43" s="0" t="s">
        <v>31</v>
      </c>
      <c r="B43" s="0" t="s">
        <v>19</v>
      </c>
      <c r="C43" s="0" t="n">
        <v>19000.6</v>
      </c>
      <c r="D43" s="0" t="n">
        <v>868236</v>
      </c>
      <c r="E43" s="0" t="n">
        <v>30036</v>
      </c>
      <c r="F43" s="0" t="n">
        <v>1369</v>
      </c>
      <c r="G43" s="0" t="n">
        <v>100737.81</v>
      </c>
      <c r="H43" s="0" t="n">
        <v>13.88</v>
      </c>
      <c r="I43" s="0" t="n">
        <v>5.302</v>
      </c>
      <c r="J43" s="0" t="n">
        <v>4.558</v>
      </c>
    </row>
    <row r="44" customFormat="false" ht="15" hidden="false" customHeight="false" outlineLevel="0" collapsed="false">
      <c r="A44" s="0" t="s">
        <v>31</v>
      </c>
      <c r="B44" s="0" t="s">
        <v>20</v>
      </c>
      <c r="C44" s="0" t="n">
        <v>67187.39</v>
      </c>
      <c r="D44" s="0" t="n">
        <v>7890791</v>
      </c>
      <c r="E44" s="0" t="n">
        <v>92550</v>
      </c>
      <c r="F44" s="0" t="n">
        <v>2403</v>
      </c>
      <c r="G44" s="0" t="n">
        <v>163161.65</v>
      </c>
      <c r="H44" s="0" t="n">
        <v>27.96</v>
      </c>
      <c r="I44" s="0" t="n">
        <v>2.428</v>
      </c>
      <c r="J44" s="0" t="n">
        <v>2.596</v>
      </c>
    </row>
    <row r="45" customFormat="false" ht="15" hidden="false" customHeight="false" outlineLevel="0" collapsed="false">
      <c r="A45" s="0" t="s">
        <v>31</v>
      </c>
      <c r="B45" s="0" t="s">
        <v>21</v>
      </c>
      <c r="C45" s="0" t="n">
        <v>5449.79</v>
      </c>
      <c r="D45" s="0" t="n">
        <v>5993306</v>
      </c>
      <c r="E45" s="0" t="n">
        <v>128731</v>
      </c>
      <c r="F45" s="0" t="n">
        <v>3973</v>
      </c>
      <c r="G45" s="0" t="n">
        <v>281735.23</v>
      </c>
      <c r="H45" s="0" t="n">
        <v>1.37</v>
      </c>
      <c r="I45" s="0" t="n">
        <v>51.697</v>
      </c>
      <c r="J45" s="0" t="n">
        <v>3.086</v>
      </c>
    </row>
    <row r="46" customFormat="false" ht="15" hidden="false" customHeight="false" outlineLevel="0" collapsed="false">
      <c r="A46" s="0" t="s">
        <v>32</v>
      </c>
      <c r="B46" s="0" t="s">
        <v>18</v>
      </c>
      <c r="C46" s="0" t="n">
        <v>2731.5</v>
      </c>
      <c r="D46" s="0" t="n">
        <v>2301745</v>
      </c>
      <c r="E46" s="0" t="n">
        <v>102410</v>
      </c>
      <c r="F46" s="0" t="n">
        <v>6572</v>
      </c>
      <c r="G46" s="0" t="n">
        <v>398875.89</v>
      </c>
      <c r="H46" s="0" t="n">
        <v>0.42</v>
      </c>
      <c r="I46" s="0" t="n">
        <v>146.028</v>
      </c>
      <c r="J46" s="0" t="n">
        <v>6.417</v>
      </c>
    </row>
    <row r="47" customFormat="false" ht="15" hidden="false" customHeight="false" outlineLevel="0" collapsed="false">
      <c r="A47" s="0" t="s">
        <v>32</v>
      </c>
      <c r="B47" s="0" t="s">
        <v>19</v>
      </c>
      <c r="C47" s="0" t="n">
        <v>20386.93</v>
      </c>
      <c r="D47" s="0" t="n">
        <v>923767</v>
      </c>
      <c r="E47" s="0" t="n">
        <v>31136</v>
      </c>
      <c r="F47" s="0" t="n">
        <v>1390</v>
      </c>
      <c r="G47" s="0" t="n">
        <v>102900.25</v>
      </c>
      <c r="H47" s="0" t="n">
        <v>14.67</v>
      </c>
      <c r="I47" s="0" t="n">
        <v>5.047</v>
      </c>
      <c r="J47" s="0" t="n">
        <v>4.464</v>
      </c>
    </row>
    <row r="48" customFormat="false" ht="15" hidden="false" customHeight="false" outlineLevel="0" collapsed="false">
      <c r="A48" s="0" t="s">
        <v>32</v>
      </c>
      <c r="B48" s="0" t="s">
        <v>20</v>
      </c>
      <c r="C48" s="0" t="n">
        <v>72650.67</v>
      </c>
      <c r="D48" s="0" t="n">
        <v>8479313</v>
      </c>
      <c r="E48" s="0" t="n">
        <v>100700</v>
      </c>
      <c r="F48" s="0" t="n">
        <v>2597</v>
      </c>
      <c r="G48" s="0" t="n">
        <v>176565.12</v>
      </c>
      <c r="H48" s="0" t="n">
        <v>27.97</v>
      </c>
      <c r="I48" s="0" t="n">
        <v>2.43</v>
      </c>
      <c r="J48" s="0" t="n">
        <v>2.579</v>
      </c>
    </row>
    <row r="49" customFormat="false" ht="15" hidden="false" customHeight="false" outlineLevel="0" collapsed="false">
      <c r="A49" s="0" t="s">
        <v>32</v>
      </c>
      <c r="B49" s="0" t="s">
        <v>21</v>
      </c>
      <c r="C49" s="0" t="n">
        <v>5660.77</v>
      </c>
      <c r="D49" s="0" t="n">
        <v>6351369</v>
      </c>
      <c r="E49" s="0" t="n">
        <v>132927</v>
      </c>
      <c r="F49" s="0" t="n">
        <v>3938</v>
      </c>
      <c r="G49" s="0" t="n">
        <v>276282.55</v>
      </c>
      <c r="H49" s="0" t="n">
        <v>1.44</v>
      </c>
      <c r="I49" s="0" t="n">
        <v>48.807</v>
      </c>
      <c r="J49" s="0" t="n">
        <v>2.963</v>
      </c>
    </row>
    <row r="50" customFormat="false" ht="15" hidden="false" customHeight="false" outlineLevel="0" collapsed="false">
      <c r="A50" s="0" t="s">
        <v>33</v>
      </c>
      <c r="B50" s="0" t="s">
        <v>18</v>
      </c>
      <c r="C50" s="0" t="n">
        <v>2914.46</v>
      </c>
      <c r="D50" s="0" t="n">
        <v>2419458</v>
      </c>
      <c r="E50" s="0" t="n">
        <v>111336</v>
      </c>
      <c r="F50" s="0" t="n">
        <v>7304</v>
      </c>
      <c r="G50" s="0" t="n">
        <v>449319.45</v>
      </c>
      <c r="H50" s="0" t="n">
        <v>0.4</v>
      </c>
      <c r="I50" s="0" t="n">
        <v>154.169</v>
      </c>
      <c r="J50" s="0" t="n">
        <v>6.56</v>
      </c>
    </row>
    <row r="51" customFormat="false" ht="15" hidden="false" customHeight="false" outlineLevel="0" collapsed="false">
      <c r="A51" s="0" t="s">
        <v>33</v>
      </c>
      <c r="B51" s="0" t="s">
        <v>19</v>
      </c>
      <c r="C51" s="0" t="n">
        <v>20143.42</v>
      </c>
      <c r="D51" s="0" t="n">
        <v>917362</v>
      </c>
      <c r="E51" s="0" t="n">
        <v>31717</v>
      </c>
      <c r="F51" s="0" t="n">
        <v>1382</v>
      </c>
      <c r="G51" s="0" t="n">
        <v>100813.5</v>
      </c>
      <c r="H51" s="0" t="n">
        <v>14.58</v>
      </c>
      <c r="I51" s="0" t="n">
        <v>5.005</v>
      </c>
      <c r="J51" s="0" t="n">
        <v>4.357</v>
      </c>
    </row>
    <row r="52" customFormat="false" ht="15" hidden="false" customHeight="false" outlineLevel="0" collapsed="false">
      <c r="A52" s="0" t="s">
        <v>33</v>
      </c>
      <c r="B52" s="0" t="s">
        <v>20</v>
      </c>
      <c r="C52" s="0" t="n">
        <v>76651.81</v>
      </c>
      <c r="D52" s="0" t="n">
        <v>8998736</v>
      </c>
      <c r="E52" s="0" t="n">
        <v>108836</v>
      </c>
      <c r="F52" s="0" t="n">
        <v>2686</v>
      </c>
      <c r="G52" s="0" t="n">
        <v>183571.4</v>
      </c>
      <c r="H52" s="0" t="n">
        <v>28.54</v>
      </c>
      <c r="I52" s="0" t="n">
        <v>2.395</v>
      </c>
      <c r="J52" s="0" t="n">
        <v>2.468</v>
      </c>
    </row>
    <row r="53" customFormat="false" ht="15" hidden="false" customHeight="false" outlineLevel="0" collapsed="false">
      <c r="A53" s="0" t="s">
        <v>33</v>
      </c>
      <c r="B53" s="0" t="s">
        <v>21</v>
      </c>
      <c r="C53" s="0" t="n">
        <v>5877.69</v>
      </c>
      <c r="D53" s="0" t="n">
        <v>6572614</v>
      </c>
      <c r="E53" s="0" t="n">
        <v>141735</v>
      </c>
      <c r="F53" s="0" t="n">
        <v>4392</v>
      </c>
      <c r="G53" s="0" t="n">
        <v>308015.98</v>
      </c>
      <c r="H53" s="0" t="n">
        <v>1.34</v>
      </c>
      <c r="I53" s="0" t="n">
        <v>52.404</v>
      </c>
      <c r="J53" s="0" t="n">
        <v>3.099</v>
      </c>
    </row>
    <row r="54" customFormat="false" ht="15" hidden="false" customHeight="false" outlineLevel="0" collapsed="false">
      <c r="A54" s="0" t="s">
        <v>34</v>
      </c>
      <c r="B54" s="0" t="s">
        <v>18</v>
      </c>
      <c r="C54" s="0" t="n">
        <v>2579.93</v>
      </c>
      <c r="D54" s="0" t="n">
        <v>2151006</v>
      </c>
      <c r="E54" s="0" t="n">
        <v>98169</v>
      </c>
      <c r="F54" s="0" t="n">
        <v>6238</v>
      </c>
      <c r="G54" s="0" t="n">
        <v>379833.75</v>
      </c>
      <c r="H54" s="0" t="n">
        <v>0.41</v>
      </c>
      <c r="I54" s="0" t="n">
        <v>147.226</v>
      </c>
      <c r="J54" s="0" t="n">
        <v>6.354</v>
      </c>
    </row>
    <row r="55" customFormat="false" ht="15" hidden="false" customHeight="false" outlineLevel="0" collapsed="false">
      <c r="A55" s="0" t="s">
        <v>34</v>
      </c>
      <c r="B55" s="0" t="s">
        <v>19</v>
      </c>
      <c r="C55" s="0" t="n">
        <v>18475.62</v>
      </c>
      <c r="D55" s="0" t="n">
        <v>836985</v>
      </c>
      <c r="E55" s="0" t="n">
        <v>29675</v>
      </c>
      <c r="F55" s="0" t="n">
        <v>1364</v>
      </c>
      <c r="G55" s="0" t="n">
        <v>101186.41</v>
      </c>
      <c r="H55" s="0" t="n">
        <v>13.55</v>
      </c>
      <c r="I55" s="0" t="n">
        <v>5.477</v>
      </c>
      <c r="J55" s="0" t="n">
        <v>4.596</v>
      </c>
    </row>
    <row r="56" customFormat="false" ht="15" hidden="false" customHeight="false" outlineLevel="0" collapsed="false">
      <c r="A56" s="0" t="s">
        <v>34</v>
      </c>
      <c r="B56" s="0" t="s">
        <v>20</v>
      </c>
      <c r="C56" s="0" t="n">
        <v>70073.14</v>
      </c>
      <c r="D56" s="0" t="n">
        <v>8160733</v>
      </c>
      <c r="E56" s="0" t="n">
        <v>99540</v>
      </c>
      <c r="F56" s="0" t="n">
        <v>2491</v>
      </c>
      <c r="G56" s="0" t="n">
        <v>170518.93</v>
      </c>
      <c r="H56" s="0" t="n">
        <v>28.13</v>
      </c>
      <c r="I56" s="0" t="n">
        <v>2.433</v>
      </c>
      <c r="J56" s="0" t="n">
        <v>2.503</v>
      </c>
    </row>
    <row r="57" customFormat="false" ht="15" hidden="false" customHeight="false" outlineLevel="0" collapsed="false">
      <c r="A57" s="0" t="s">
        <v>34</v>
      </c>
      <c r="B57" s="0" t="s">
        <v>21</v>
      </c>
      <c r="C57" s="0" t="n">
        <v>5167.7</v>
      </c>
      <c r="D57" s="0" t="n">
        <v>5751089</v>
      </c>
      <c r="E57" s="0" t="n">
        <v>120341</v>
      </c>
      <c r="F57" s="0" t="n">
        <v>3764</v>
      </c>
      <c r="G57" s="0" t="n">
        <v>266716.09</v>
      </c>
      <c r="H57" s="0" t="n">
        <v>1.37</v>
      </c>
      <c r="I57" s="0" t="n">
        <v>51.612</v>
      </c>
      <c r="J57" s="0" t="n">
        <v>3.128</v>
      </c>
    </row>
    <row r="58" customFormat="false" ht="15" hidden="false" customHeight="false" outlineLevel="0" collapsed="false">
      <c r="A58" s="0" t="s">
        <v>35</v>
      </c>
      <c r="B58" s="0" t="s">
        <v>18</v>
      </c>
      <c r="C58" s="0" t="n">
        <v>2835.42</v>
      </c>
      <c r="D58" s="0" t="n">
        <v>2392081</v>
      </c>
      <c r="E58" s="0" t="n">
        <v>107014</v>
      </c>
      <c r="F58" s="0" t="n">
        <v>6758</v>
      </c>
      <c r="G58" s="0" t="n">
        <v>420564.88</v>
      </c>
      <c r="H58" s="0" t="n">
        <v>0.42</v>
      </c>
      <c r="I58" s="0" t="n">
        <v>148.325</v>
      </c>
      <c r="J58" s="0" t="n">
        <v>6.315</v>
      </c>
    </row>
    <row r="59" customFormat="false" ht="15" hidden="false" customHeight="false" outlineLevel="0" collapsed="false">
      <c r="A59" s="0" t="s">
        <v>35</v>
      </c>
      <c r="B59" s="0" t="s">
        <v>19</v>
      </c>
      <c r="C59" s="0" t="n">
        <v>20864.13</v>
      </c>
      <c r="D59" s="0" t="n">
        <v>942097</v>
      </c>
      <c r="E59" s="0" t="n">
        <v>32387</v>
      </c>
      <c r="F59" s="0" t="n">
        <v>1476</v>
      </c>
      <c r="G59" s="0" t="n">
        <v>108748.21</v>
      </c>
      <c r="H59" s="0" t="n">
        <v>14.14</v>
      </c>
      <c r="I59" s="0" t="n">
        <v>5.212</v>
      </c>
      <c r="J59" s="0" t="n">
        <v>4.557</v>
      </c>
    </row>
    <row r="60" customFormat="false" ht="15" hidden="false" customHeight="false" outlineLevel="0" collapsed="false">
      <c r="A60" s="0" t="s">
        <v>35</v>
      </c>
      <c r="B60" s="0" t="s">
        <v>20</v>
      </c>
      <c r="C60" s="0" t="n">
        <v>82207.79</v>
      </c>
      <c r="D60" s="0" t="n">
        <v>9676744</v>
      </c>
      <c r="E60" s="0" t="n">
        <v>118062</v>
      </c>
      <c r="F60" s="0" t="n">
        <v>2800</v>
      </c>
      <c r="G60" s="0" t="n">
        <v>192367.13</v>
      </c>
      <c r="H60" s="0" t="n">
        <v>29.36</v>
      </c>
      <c r="I60" s="0" t="n">
        <v>2.34</v>
      </c>
      <c r="J60" s="0" t="n">
        <v>2.372</v>
      </c>
    </row>
    <row r="61" customFormat="false" ht="15" hidden="false" customHeight="false" outlineLevel="0" collapsed="false">
      <c r="A61" s="0" t="s">
        <v>35</v>
      </c>
      <c r="B61" s="0" t="s">
        <v>21</v>
      </c>
      <c r="C61" s="0" t="n">
        <v>5668.45</v>
      </c>
      <c r="D61" s="0" t="n">
        <v>6199692</v>
      </c>
      <c r="E61" s="0" t="n">
        <v>131888</v>
      </c>
      <c r="F61" s="0" t="n">
        <v>4124</v>
      </c>
      <c r="G61" s="0" t="n">
        <v>292231.11</v>
      </c>
      <c r="H61" s="0" t="n">
        <v>1.37</v>
      </c>
      <c r="I61" s="0" t="n">
        <v>51.554</v>
      </c>
      <c r="J61" s="0" t="n">
        <v>3.127</v>
      </c>
    </row>
    <row r="62" customFormat="false" ht="15" hidden="false" customHeight="false" outlineLevel="0" collapsed="false">
      <c r="A62" s="0" t="s">
        <v>36</v>
      </c>
      <c r="B62" s="0" t="s">
        <v>18</v>
      </c>
      <c r="C62" s="0" t="n">
        <v>2866.23</v>
      </c>
      <c r="D62" s="0" t="n">
        <v>2384288</v>
      </c>
      <c r="E62" s="0" t="n">
        <v>106406</v>
      </c>
      <c r="F62" s="0" t="n">
        <v>6813</v>
      </c>
      <c r="G62" s="0" t="n">
        <v>412021.37</v>
      </c>
      <c r="H62" s="0" t="n">
        <v>0.42</v>
      </c>
      <c r="I62" s="0" t="n">
        <v>143.75</v>
      </c>
      <c r="J62" s="0" t="n">
        <v>6.403</v>
      </c>
    </row>
    <row r="63" customFormat="false" ht="15" hidden="false" customHeight="false" outlineLevel="0" collapsed="false">
      <c r="A63" s="0" t="s">
        <v>36</v>
      </c>
      <c r="B63" s="0" t="s">
        <v>19</v>
      </c>
      <c r="C63" s="0" t="n">
        <v>20439.4</v>
      </c>
      <c r="D63" s="0" t="n">
        <v>932496</v>
      </c>
      <c r="E63" s="0" t="n">
        <v>32507</v>
      </c>
      <c r="F63" s="0" t="n">
        <v>1415</v>
      </c>
      <c r="G63" s="0" t="n">
        <v>105157.32</v>
      </c>
      <c r="H63" s="0" t="n">
        <v>14.44</v>
      </c>
      <c r="I63" s="0" t="n">
        <v>5.145</v>
      </c>
      <c r="J63" s="0" t="n">
        <v>4.353</v>
      </c>
    </row>
    <row r="64" customFormat="false" ht="15" hidden="false" customHeight="false" outlineLevel="0" collapsed="false">
      <c r="A64" s="0" t="s">
        <v>36</v>
      </c>
      <c r="B64" s="0" t="s">
        <v>20</v>
      </c>
      <c r="C64" s="0" t="n">
        <v>86530.03</v>
      </c>
      <c r="D64" s="0" t="n">
        <v>9876470</v>
      </c>
      <c r="E64" s="0" t="n">
        <v>121027</v>
      </c>
      <c r="F64" s="0" t="n">
        <v>2721</v>
      </c>
      <c r="G64" s="0" t="n">
        <v>185872.85</v>
      </c>
      <c r="H64" s="0" t="n">
        <v>31.8</v>
      </c>
      <c r="I64" s="0" t="n">
        <v>2.148</v>
      </c>
      <c r="J64" s="0" t="n">
        <v>2.248</v>
      </c>
    </row>
    <row r="65" customFormat="false" ht="15" hidden="false" customHeight="false" outlineLevel="0" collapsed="false">
      <c r="A65" s="0" t="s">
        <v>36</v>
      </c>
      <c r="B65" s="0" t="s">
        <v>21</v>
      </c>
      <c r="C65" s="0" t="n">
        <v>5648.62</v>
      </c>
      <c r="D65" s="0" t="n">
        <v>6281449</v>
      </c>
      <c r="E65" s="0" t="n">
        <v>132687</v>
      </c>
      <c r="F65" s="0" t="n">
        <v>4076</v>
      </c>
      <c r="G65" s="0" t="n">
        <v>285707.93</v>
      </c>
      <c r="H65" s="0" t="n">
        <v>1.39</v>
      </c>
      <c r="I65" s="0" t="n">
        <v>50.58</v>
      </c>
      <c r="J65" s="0" t="n">
        <v>3.072</v>
      </c>
    </row>
    <row r="66" customFormat="false" ht="15" hidden="false" customHeight="false" outlineLevel="0" collapsed="false">
      <c r="A66" s="0" t="s">
        <v>37</v>
      </c>
      <c r="B66" s="0" t="s">
        <v>18</v>
      </c>
      <c r="C66" s="0" t="n">
        <v>2837.54</v>
      </c>
      <c r="D66" s="0" t="n">
        <v>2351888</v>
      </c>
      <c r="E66" s="0" t="n">
        <v>104351</v>
      </c>
      <c r="F66" s="0" t="n">
        <v>6586</v>
      </c>
      <c r="G66" s="0" t="n">
        <v>400581.27</v>
      </c>
      <c r="H66" s="0" t="n">
        <v>0.43</v>
      </c>
      <c r="I66" s="0" t="n">
        <v>141.172</v>
      </c>
      <c r="J66" s="0" t="n">
        <v>6.311</v>
      </c>
    </row>
    <row r="67" customFormat="false" ht="15" hidden="false" customHeight="false" outlineLevel="0" collapsed="false">
      <c r="A67" s="0" t="s">
        <v>37</v>
      </c>
      <c r="B67" s="0" t="s">
        <v>19</v>
      </c>
      <c r="C67" s="0" t="n">
        <v>21137.76</v>
      </c>
      <c r="D67" s="0" t="n">
        <v>964654</v>
      </c>
      <c r="E67" s="0" t="n">
        <v>33515</v>
      </c>
      <c r="F67" s="0" t="n">
        <v>1492</v>
      </c>
      <c r="G67" s="0" t="n">
        <v>109907.43</v>
      </c>
      <c r="H67" s="0" t="n">
        <v>14.17</v>
      </c>
      <c r="I67" s="0" t="n">
        <v>5.2</v>
      </c>
      <c r="J67" s="0" t="n">
        <v>4.452</v>
      </c>
    </row>
    <row r="68" customFormat="false" ht="15" hidden="false" customHeight="false" outlineLevel="0" collapsed="false">
      <c r="A68" s="0" t="s">
        <v>37</v>
      </c>
      <c r="B68" s="0" t="s">
        <v>20</v>
      </c>
      <c r="C68" s="0" t="n">
        <v>89842.38</v>
      </c>
      <c r="D68" s="0" t="n">
        <v>10679807</v>
      </c>
      <c r="E68" s="0" t="n">
        <v>130789</v>
      </c>
      <c r="F68" s="0" t="n">
        <v>3012</v>
      </c>
      <c r="G68" s="0" t="n">
        <v>203676.9</v>
      </c>
      <c r="H68" s="0" t="n">
        <v>29.83</v>
      </c>
      <c r="I68" s="0" t="n">
        <v>2.267</v>
      </c>
      <c r="J68" s="0" t="n">
        <v>2.303</v>
      </c>
    </row>
    <row r="69" customFormat="false" ht="15" hidden="false" customHeight="false" outlineLevel="0" collapsed="false">
      <c r="A69" s="0" t="s">
        <v>37</v>
      </c>
      <c r="B69" s="0" t="s">
        <v>21</v>
      </c>
      <c r="C69" s="0" t="n">
        <v>6007.75</v>
      </c>
      <c r="D69" s="0" t="n">
        <v>6645320</v>
      </c>
      <c r="E69" s="0" t="n">
        <v>140908</v>
      </c>
      <c r="F69" s="0" t="n">
        <v>4335</v>
      </c>
      <c r="G69" s="0" t="n">
        <v>306034.58</v>
      </c>
      <c r="H69" s="0" t="n">
        <v>1.39</v>
      </c>
      <c r="I69" s="0" t="n">
        <v>50.94</v>
      </c>
      <c r="J69" s="0" t="n">
        <v>3.076</v>
      </c>
    </row>
    <row r="70" customFormat="false" ht="15" hidden="false" customHeight="false" outlineLevel="0" collapsed="false">
      <c r="A70" s="0" t="s">
        <v>38</v>
      </c>
      <c r="B70" s="0" t="s">
        <v>18</v>
      </c>
      <c r="C70" s="0" t="n">
        <v>2747.49</v>
      </c>
      <c r="D70" s="0" t="n">
        <v>2240439</v>
      </c>
      <c r="E70" s="0" t="n">
        <v>100889</v>
      </c>
      <c r="F70" s="0" t="n">
        <v>6422</v>
      </c>
      <c r="G70" s="0" t="n">
        <v>396189.13</v>
      </c>
      <c r="H70" s="0" t="n">
        <v>0.43</v>
      </c>
      <c r="I70" s="0" t="n">
        <v>144.2</v>
      </c>
      <c r="J70" s="0" t="n">
        <v>6.365</v>
      </c>
    </row>
    <row r="71" customFormat="false" ht="15" hidden="false" customHeight="false" outlineLevel="0" collapsed="false">
      <c r="A71" s="0" t="s">
        <v>38</v>
      </c>
      <c r="B71" s="0" t="s">
        <v>19</v>
      </c>
      <c r="C71" s="0" t="n">
        <v>20216.51</v>
      </c>
      <c r="D71" s="0" t="n">
        <v>927098</v>
      </c>
      <c r="E71" s="0" t="n">
        <v>32193</v>
      </c>
      <c r="F71" s="0" t="n">
        <v>1415</v>
      </c>
      <c r="G71" s="0" t="n">
        <v>102856.51</v>
      </c>
      <c r="H71" s="0" t="n">
        <v>14.29</v>
      </c>
      <c r="I71" s="0" t="n">
        <v>5.088</v>
      </c>
      <c r="J71" s="0" t="n">
        <v>4.395</v>
      </c>
    </row>
    <row r="72" customFormat="false" ht="15" hidden="false" customHeight="false" outlineLevel="0" collapsed="false">
      <c r="A72" s="0" t="s">
        <v>38</v>
      </c>
      <c r="B72" s="0" t="s">
        <v>20</v>
      </c>
      <c r="C72" s="0" t="n">
        <v>90809.8</v>
      </c>
      <c r="D72" s="0" t="n">
        <v>10876148</v>
      </c>
      <c r="E72" s="0" t="n">
        <v>132508</v>
      </c>
      <c r="F72" s="0" t="n">
        <v>2949</v>
      </c>
      <c r="G72" s="0" t="n">
        <v>202109.62</v>
      </c>
      <c r="H72" s="0" t="n">
        <v>30.79</v>
      </c>
      <c r="I72" s="0" t="n">
        <v>2.226</v>
      </c>
      <c r="J72" s="0" t="n">
        <v>2.226</v>
      </c>
    </row>
    <row r="73" customFormat="false" ht="15" hidden="false" customHeight="false" outlineLevel="0" collapsed="false">
      <c r="A73" s="0" t="s">
        <v>38</v>
      </c>
      <c r="B73" s="0" t="s">
        <v>21</v>
      </c>
      <c r="C73" s="0" t="n">
        <v>5712.91</v>
      </c>
      <c r="D73" s="0" t="n">
        <v>6351829</v>
      </c>
      <c r="E73" s="0" t="n">
        <v>131034</v>
      </c>
      <c r="F73" s="0" t="n">
        <v>3990</v>
      </c>
      <c r="G73" s="0" t="n">
        <v>279389</v>
      </c>
      <c r="H73" s="0" t="n">
        <v>1.43</v>
      </c>
      <c r="I73" s="0" t="n">
        <v>48.905</v>
      </c>
      <c r="J73" s="0" t="n">
        <v>3.045</v>
      </c>
    </row>
    <row r="74" customFormat="false" ht="15" hidden="false" customHeight="false" outlineLevel="0" collapsed="false">
      <c r="A74" s="0" t="s">
        <v>39</v>
      </c>
      <c r="B74" s="0" t="s">
        <v>18</v>
      </c>
      <c r="C74" s="0" t="n">
        <v>2998.69</v>
      </c>
      <c r="D74" s="0" t="n">
        <v>2496258</v>
      </c>
      <c r="E74" s="0" t="n">
        <v>113851</v>
      </c>
      <c r="F74" s="0" t="n">
        <v>7442</v>
      </c>
      <c r="G74" s="0" t="n">
        <v>459721.44</v>
      </c>
      <c r="H74" s="0" t="n">
        <v>0.4</v>
      </c>
      <c r="I74" s="0" t="n">
        <v>153.307</v>
      </c>
      <c r="J74" s="0" t="n">
        <v>6.537</v>
      </c>
    </row>
    <row r="75" customFormat="false" ht="15" hidden="false" customHeight="false" outlineLevel="0" collapsed="false">
      <c r="A75" s="0" t="s">
        <v>39</v>
      </c>
      <c r="B75" s="0" t="s">
        <v>19</v>
      </c>
      <c r="C75" s="0" t="n">
        <v>21691.08</v>
      </c>
      <c r="D75" s="0" t="n">
        <v>995879</v>
      </c>
      <c r="E75" s="0" t="n">
        <v>34824</v>
      </c>
      <c r="F75" s="0" t="n">
        <v>1560</v>
      </c>
      <c r="G75" s="0" t="n">
        <v>115517.05</v>
      </c>
      <c r="H75" s="0" t="n">
        <v>13.9</v>
      </c>
      <c r="I75" s="0" t="n">
        <v>5.326</v>
      </c>
      <c r="J75" s="0" t="n">
        <v>4.48</v>
      </c>
    </row>
    <row r="76" customFormat="false" ht="15" hidden="false" customHeight="false" outlineLevel="0" collapsed="false">
      <c r="A76" s="0" t="s">
        <v>39</v>
      </c>
      <c r="B76" s="0" t="s">
        <v>20</v>
      </c>
      <c r="C76" s="0" t="n">
        <v>101333.97</v>
      </c>
      <c r="D76" s="0" t="n">
        <v>11803793</v>
      </c>
      <c r="E76" s="0" t="n">
        <v>144196</v>
      </c>
      <c r="F76" s="0" t="n">
        <v>3127</v>
      </c>
      <c r="G76" s="0" t="n">
        <v>210751.96</v>
      </c>
      <c r="H76" s="0" t="n">
        <v>32.41</v>
      </c>
      <c r="I76" s="0" t="n">
        <v>2.08</v>
      </c>
      <c r="J76" s="0" t="n">
        <v>2.169</v>
      </c>
    </row>
    <row r="77" customFormat="false" ht="15" hidden="false" customHeight="false" outlineLevel="0" collapsed="false">
      <c r="A77" s="0" t="s">
        <v>39</v>
      </c>
      <c r="B77" s="0" t="s">
        <v>21</v>
      </c>
      <c r="C77" s="0" t="n">
        <v>5959.18</v>
      </c>
      <c r="D77" s="0" t="n">
        <v>6675600</v>
      </c>
      <c r="E77" s="0" t="n">
        <v>136010</v>
      </c>
      <c r="F77" s="0" t="n">
        <v>4341</v>
      </c>
      <c r="G77" s="0" t="n">
        <v>301859.54</v>
      </c>
      <c r="H77" s="0" t="n">
        <v>1.37</v>
      </c>
      <c r="I77" s="0" t="n">
        <v>50.655</v>
      </c>
      <c r="J77" s="0" t="n">
        <v>3.192</v>
      </c>
    </row>
    <row r="78" customFormat="false" ht="15" hidden="false" customHeight="false" outlineLevel="0" collapsed="false">
      <c r="A78" s="0" t="s">
        <v>40</v>
      </c>
      <c r="B78" s="0" t="s">
        <v>18</v>
      </c>
      <c r="C78" s="0" t="n">
        <v>2902.62</v>
      </c>
      <c r="D78" s="0" t="n">
        <v>2482976</v>
      </c>
      <c r="E78" s="0" t="n">
        <v>115183</v>
      </c>
      <c r="F78" s="0" t="n">
        <v>7459</v>
      </c>
      <c r="G78" s="0" t="n">
        <v>450681.83</v>
      </c>
      <c r="H78" s="0" t="n">
        <v>0.39</v>
      </c>
      <c r="I78" s="0" t="n">
        <v>155.267</v>
      </c>
      <c r="J78" s="0" t="n">
        <v>6.476</v>
      </c>
    </row>
    <row r="79" customFormat="false" ht="15" hidden="false" customHeight="false" outlineLevel="0" collapsed="false">
      <c r="A79" s="0" t="s">
        <v>40</v>
      </c>
      <c r="B79" s="0" t="s">
        <v>19</v>
      </c>
      <c r="C79" s="0" t="n">
        <v>20844.88</v>
      </c>
      <c r="D79" s="0" t="n">
        <v>942405</v>
      </c>
      <c r="E79" s="0" t="n">
        <v>32556</v>
      </c>
      <c r="F79" s="0" t="n">
        <v>1474</v>
      </c>
      <c r="G79" s="0" t="n">
        <v>109368.42</v>
      </c>
      <c r="H79" s="0" t="n">
        <v>14.14</v>
      </c>
      <c r="I79" s="0" t="n">
        <v>5.247</v>
      </c>
      <c r="J79" s="0" t="n">
        <v>4.528</v>
      </c>
    </row>
    <row r="80" customFormat="false" ht="15" hidden="false" customHeight="false" outlineLevel="0" collapsed="false">
      <c r="A80" s="0" t="s">
        <v>40</v>
      </c>
      <c r="B80" s="0" t="s">
        <v>20</v>
      </c>
      <c r="C80" s="0" t="n">
        <v>102167.12</v>
      </c>
      <c r="D80" s="0" t="n">
        <v>11745996</v>
      </c>
      <c r="E80" s="0" t="n">
        <v>139710</v>
      </c>
      <c r="F80" s="0" t="n">
        <v>2944</v>
      </c>
      <c r="G80" s="0" t="n">
        <v>198020.39</v>
      </c>
      <c r="H80" s="0" t="n">
        <v>34.7</v>
      </c>
      <c r="I80" s="0" t="n">
        <v>1.938</v>
      </c>
      <c r="J80" s="0" t="n">
        <v>2.107</v>
      </c>
    </row>
    <row r="81" customFormat="false" ht="15" hidden="false" customHeight="false" outlineLevel="0" collapsed="false">
      <c r="A81" s="0" t="s">
        <v>40</v>
      </c>
      <c r="B81" s="0" t="s">
        <v>21</v>
      </c>
      <c r="C81" s="0" t="n">
        <v>5929.87</v>
      </c>
      <c r="D81" s="0" t="n">
        <v>6640683</v>
      </c>
      <c r="E81" s="0" t="n">
        <v>137189</v>
      </c>
      <c r="F81" s="0" t="n">
        <v>4247</v>
      </c>
      <c r="G81" s="0" t="n">
        <v>291281.19</v>
      </c>
      <c r="H81" s="0" t="n">
        <v>1.4</v>
      </c>
      <c r="I81" s="0" t="n">
        <v>49.121</v>
      </c>
      <c r="J81" s="0" t="n">
        <v>3.096</v>
      </c>
    </row>
    <row r="82" customFormat="false" ht="15" hidden="false" customHeight="false" outlineLevel="0" collapsed="false">
      <c r="A82" s="0" t="s">
        <v>41</v>
      </c>
      <c r="B82" s="0" t="s">
        <v>18</v>
      </c>
      <c r="C82" s="0" t="n">
        <v>2909.43</v>
      </c>
      <c r="D82" s="0" t="n">
        <v>2361694</v>
      </c>
      <c r="E82" s="0" t="n">
        <v>105235</v>
      </c>
      <c r="F82" s="0" t="n">
        <v>6786</v>
      </c>
      <c r="G82" s="0" t="n">
        <v>412840.23</v>
      </c>
      <c r="H82" s="0" t="n">
        <v>0.43</v>
      </c>
      <c r="I82" s="0" t="n">
        <v>141.897</v>
      </c>
      <c r="J82" s="0" t="n">
        <v>6.448</v>
      </c>
    </row>
    <row r="83" customFormat="false" ht="15" hidden="false" customHeight="false" outlineLevel="0" collapsed="false">
      <c r="A83" s="0" t="s">
        <v>41</v>
      </c>
      <c r="B83" s="0" t="s">
        <v>19</v>
      </c>
      <c r="C83" s="0" t="n">
        <v>20934.91</v>
      </c>
      <c r="D83" s="0" t="n">
        <v>962077</v>
      </c>
      <c r="E83" s="0" t="n">
        <v>33793</v>
      </c>
      <c r="F83" s="0" t="n">
        <v>1476</v>
      </c>
      <c r="G83" s="0" t="n">
        <v>109269.65</v>
      </c>
      <c r="H83" s="0" t="n">
        <v>14.18</v>
      </c>
      <c r="I83" s="0" t="n">
        <v>5.219</v>
      </c>
      <c r="J83" s="0" t="n">
        <v>4.368</v>
      </c>
    </row>
    <row r="84" customFormat="false" ht="15" hidden="false" customHeight="false" outlineLevel="0" collapsed="false">
      <c r="A84" s="0" t="s">
        <v>41</v>
      </c>
      <c r="B84" s="0" t="s">
        <v>20</v>
      </c>
      <c r="C84" s="0" t="n">
        <v>106531.83</v>
      </c>
      <c r="D84" s="0" t="n">
        <v>12256503</v>
      </c>
      <c r="E84" s="0" t="n">
        <v>147736</v>
      </c>
      <c r="F84" s="0" t="n">
        <v>2805</v>
      </c>
      <c r="G84" s="0" t="n">
        <v>191811.88</v>
      </c>
      <c r="H84" s="0" t="n">
        <v>37.98</v>
      </c>
      <c r="I84" s="0" t="n">
        <v>1.801</v>
      </c>
      <c r="J84" s="0" t="n">
        <v>1.899</v>
      </c>
    </row>
    <row r="85" customFormat="false" ht="15" hidden="false" customHeight="false" outlineLevel="0" collapsed="false">
      <c r="A85" s="0" t="s">
        <v>41</v>
      </c>
      <c r="B85" s="0" t="s">
        <v>21</v>
      </c>
      <c r="C85" s="0" t="n">
        <v>5904.17</v>
      </c>
      <c r="D85" s="0" t="n">
        <v>6548350</v>
      </c>
      <c r="E85" s="0" t="n">
        <v>136751</v>
      </c>
      <c r="F85" s="0" t="n">
        <v>4118</v>
      </c>
      <c r="G85" s="0" t="n">
        <v>290759.33</v>
      </c>
      <c r="H85" s="0" t="n">
        <v>1.43</v>
      </c>
      <c r="I85" s="0" t="n">
        <v>49.246</v>
      </c>
      <c r="J85" s="0" t="n">
        <v>3.011</v>
      </c>
    </row>
    <row r="86" customFormat="false" ht="15" hidden="false" customHeight="false" outlineLevel="0" collapsed="false">
      <c r="A86" s="0" t="s">
        <v>42</v>
      </c>
      <c r="B86" s="0" t="s">
        <v>18</v>
      </c>
      <c r="C86" s="0" t="n">
        <v>3010.86</v>
      </c>
      <c r="D86" s="0" t="n">
        <v>2459207</v>
      </c>
      <c r="E86" s="0" t="n">
        <v>109195</v>
      </c>
      <c r="F86" s="0" t="n">
        <v>7050</v>
      </c>
      <c r="G86" s="0" t="n">
        <v>430593.01</v>
      </c>
      <c r="H86" s="0" t="n">
        <v>0.43</v>
      </c>
      <c r="I86" s="0" t="n">
        <v>143.013</v>
      </c>
      <c r="J86" s="0" t="n">
        <v>6.456</v>
      </c>
    </row>
    <row r="87" customFormat="false" ht="15" hidden="false" customHeight="false" outlineLevel="0" collapsed="false">
      <c r="A87" s="0" t="s">
        <v>42</v>
      </c>
      <c r="B87" s="0" t="s">
        <v>19</v>
      </c>
      <c r="C87" s="0" t="n">
        <v>21606.85</v>
      </c>
      <c r="D87" s="0" t="n">
        <v>997444</v>
      </c>
      <c r="E87" s="0" t="n">
        <v>34842</v>
      </c>
      <c r="F87" s="0" t="n">
        <v>1550</v>
      </c>
      <c r="G87" s="0" t="n">
        <v>114745.21</v>
      </c>
      <c r="H87" s="0" t="n">
        <v>13.94</v>
      </c>
      <c r="I87" s="0" t="n">
        <v>5.311</v>
      </c>
      <c r="J87" s="0" t="n">
        <v>4.449</v>
      </c>
    </row>
    <row r="88" customFormat="false" ht="15" hidden="false" customHeight="false" outlineLevel="0" collapsed="false">
      <c r="A88" s="0" t="s">
        <v>42</v>
      </c>
      <c r="B88" s="0" t="s">
        <v>20</v>
      </c>
      <c r="C88" s="0" t="n">
        <v>113813.47</v>
      </c>
      <c r="D88" s="0" t="n">
        <v>13112893</v>
      </c>
      <c r="E88" s="0" t="n">
        <v>154001</v>
      </c>
      <c r="F88" s="0" t="n">
        <v>2929</v>
      </c>
      <c r="G88" s="0" t="n">
        <v>198052.36</v>
      </c>
      <c r="H88" s="0" t="n">
        <v>38.86</v>
      </c>
      <c r="I88" s="0" t="n">
        <v>1.74</v>
      </c>
      <c r="J88" s="0" t="n">
        <v>1.902</v>
      </c>
    </row>
    <row r="89" customFormat="false" ht="15" hidden="false" customHeight="false" outlineLevel="0" collapsed="false">
      <c r="A89" s="0" t="s">
        <v>42</v>
      </c>
      <c r="B89" s="0" t="s">
        <v>21</v>
      </c>
      <c r="C89" s="0" t="n">
        <v>6135.38</v>
      </c>
      <c r="D89" s="0" t="n">
        <v>6868505</v>
      </c>
      <c r="E89" s="0" t="n">
        <v>141776</v>
      </c>
      <c r="F89" s="0" t="n">
        <v>4391</v>
      </c>
      <c r="G89" s="0" t="n">
        <v>307656.5</v>
      </c>
      <c r="H89" s="0" t="n">
        <v>1.4</v>
      </c>
      <c r="I89" s="0" t="n">
        <v>50.145</v>
      </c>
      <c r="J89" s="0" t="n">
        <v>3.097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7"/>
  </cols>
  <sheetData>
    <row r="1" customFormat="false" ht="15" hidden="false" customHeight="false" outlineLevel="0" collapsed="false">
      <c r="A1" s="7" t="s">
        <v>8</v>
      </c>
      <c r="B1" s="7" t="s">
        <v>43</v>
      </c>
      <c r="C1" s="7" t="s">
        <v>44</v>
      </c>
      <c r="D1" s="7" t="s">
        <v>45</v>
      </c>
      <c r="E1" s="7" t="s">
        <v>14</v>
      </c>
      <c r="F1" s="7" t="s">
        <v>15</v>
      </c>
      <c r="G1" s="7" t="s">
        <v>46</v>
      </c>
      <c r="H1" s="7" t="s">
        <v>47</v>
      </c>
    </row>
    <row r="2" customFormat="false" ht="15" hidden="false" customHeight="false" outlineLevel="0" collapsed="false">
      <c r="A2" s="0" t="s">
        <v>18</v>
      </c>
      <c r="B2" s="0" t="n">
        <f aca="false">ROUND(SUMIF(Monthly_Data!$B$2:$B$89,A2,Monthly_Data!$C$2:$C$89),0)</f>
        <v>60682</v>
      </c>
      <c r="C2" s="0" t="n">
        <f aca="false">ROUND(SUMIF(Monthly_Data!$B$2:$B$89,A2,Monthly_Data!$G$2:$G$89),0)</f>
        <v>8981809</v>
      </c>
      <c r="D2" s="0" t="n">
        <f aca="false">SUMIF(Monthly_Data!$B$2:$B$89,A2,Monthly_Data!$F$2:$F$89)</f>
        <v>147442</v>
      </c>
      <c r="E2" s="0" t="n">
        <f aca="false">ROUND(B2/D2,2)</f>
        <v>0.41</v>
      </c>
      <c r="F2" s="0" t="n">
        <f aca="false">ROUND(C2/B2,2)</f>
        <v>148.01</v>
      </c>
      <c r="G2" s="0" t="n">
        <f aca="false">ROUND(B2/SUM($B$2:$B$5)*100,1)</f>
        <v>2.8</v>
      </c>
      <c r="H2" s="0" t="n">
        <f aca="false">ROUND(C2/SUM($C$2:$C$5)*100,1)</f>
        <v>42.9</v>
      </c>
    </row>
    <row r="3" customFormat="false" ht="15" hidden="false" customHeight="false" outlineLevel="0" collapsed="false">
      <c r="A3" s="0" t="s">
        <v>19</v>
      </c>
      <c r="B3" s="0" t="n">
        <f aca="false">ROUND(SUMIF(Monthly_Data!$B$2:$B$89,A3,Monthly_Data!$C$2:$C$89),0)</f>
        <v>436247</v>
      </c>
      <c r="C3" s="0" t="n">
        <f aca="false">ROUND(SUMIF(Monthly_Data!$B$2:$B$89,A3,Monthly_Data!$G$2:$G$89),0)</f>
        <v>2288454</v>
      </c>
      <c r="D3" s="0" t="n">
        <f aca="false">SUMIF(Monthly_Data!$B$2:$B$89,A3,Monthly_Data!$F$2:$F$89)</f>
        <v>30974</v>
      </c>
      <c r="E3" s="0" t="n">
        <f aca="false">ROUND(B3/D3,2)</f>
        <v>14.08</v>
      </c>
      <c r="F3" s="0" t="n">
        <f aca="false">ROUND(C3/B3,2)</f>
        <v>5.25</v>
      </c>
      <c r="G3" s="0" t="n">
        <f aca="false">ROUND(B3/SUM($B$2:$B$5)*100,1)</f>
        <v>20.5</v>
      </c>
      <c r="H3" s="0" t="n">
        <f aca="false">ROUND(C3/SUM($C$2:$C$5)*100,1)</f>
        <v>10.9</v>
      </c>
    </row>
    <row r="4" customFormat="false" ht="15" hidden="false" customHeight="false" outlineLevel="0" collapsed="false">
      <c r="A4" s="0" t="s">
        <v>20</v>
      </c>
      <c r="B4" s="0" t="n">
        <f aca="false">ROUND(SUMIF(Monthly_Data!$B$2:$B$89,A4,Monthly_Data!$C$2:$C$89),0)</f>
        <v>1513599</v>
      </c>
      <c r="C4" s="0" t="n">
        <f aca="false">ROUND(SUMIF(Monthly_Data!$B$2:$B$89,A4,Monthly_Data!$G$2:$G$89),0)</f>
        <v>3455036</v>
      </c>
      <c r="D4" s="0" t="n">
        <f aca="false">SUMIF(Monthly_Data!$B$2:$B$89,A4,Monthly_Data!$F$2:$F$89)</f>
        <v>50778</v>
      </c>
      <c r="E4" s="0" t="n">
        <f aca="false">ROUND(B4/D4,2)</f>
        <v>29.81</v>
      </c>
      <c r="F4" s="0" t="n">
        <f aca="false">ROUND(C4/B4,2)</f>
        <v>2.28</v>
      </c>
      <c r="G4" s="0" t="n">
        <f aca="false">ROUND(B4/SUM($B$2:$B$5)*100,1)</f>
        <v>71</v>
      </c>
      <c r="H4" s="0" t="n">
        <f aca="false">ROUND(C4/SUM($C$2:$C$5)*100,1)</f>
        <v>16.5</v>
      </c>
    </row>
    <row r="5" customFormat="false" ht="15" hidden="false" customHeight="false" outlineLevel="0" collapsed="false">
      <c r="A5" s="0" t="s">
        <v>21</v>
      </c>
      <c r="B5" s="0" t="n">
        <f aca="false">ROUND(SUMIF(Monthly_Data!$B$2:$B$89,A5,Monthly_Data!$C$2:$C$89),0)</f>
        <v>122333</v>
      </c>
      <c r="C5" s="0" t="n">
        <f aca="false">ROUND(SUMIF(Monthly_Data!$B$2:$B$89,A5,Monthly_Data!$G$2:$G$89),0)</f>
        <v>6189847</v>
      </c>
      <c r="D5" s="0" t="n">
        <f aca="false">SUMIF(Monthly_Data!$B$2:$B$89,A5,Monthly_Data!$F$2:$F$89)</f>
        <v>88193</v>
      </c>
      <c r="E5" s="0" t="n">
        <f aca="false">ROUND(B5/D5,2)</f>
        <v>1.39</v>
      </c>
      <c r="F5" s="0" t="n">
        <f aca="false">ROUND(C5/B5,2)</f>
        <v>50.6</v>
      </c>
      <c r="G5" s="0" t="n">
        <f aca="false">ROUND(B5/SUM($B$2:$B$5)*100,1)</f>
        <v>5.7</v>
      </c>
      <c r="H5" s="0" t="n">
        <f aca="false">ROUND(C5/SUM($C$2:$C$5)*100,1)</f>
        <v>29.6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0"/>
  </cols>
  <sheetData>
    <row r="1" customFormat="false" ht="15" hidden="false" customHeight="false" outlineLevel="0" collapsed="false">
      <c r="A1" s="7" t="s">
        <v>8</v>
      </c>
      <c r="B1" s="7" t="s">
        <v>48</v>
      </c>
      <c r="C1" s="7" t="s">
        <v>49</v>
      </c>
      <c r="D1" s="7" t="s">
        <v>50</v>
      </c>
      <c r="E1" s="7" t="s">
        <v>51</v>
      </c>
    </row>
    <row r="2" customFormat="false" ht="15" hidden="false" customHeight="false" outlineLevel="0" collapsed="false">
      <c r="A2" s="0" t="s">
        <v>18</v>
      </c>
      <c r="B2" s="0" t="n">
        <v>89074</v>
      </c>
      <c r="C2" s="0" t="n">
        <v>275957</v>
      </c>
      <c r="D2" s="0" t="n">
        <v>182238</v>
      </c>
      <c r="E2" s="0" t="n">
        <v>-67.7</v>
      </c>
    </row>
    <row r="3" customFormat="false" ht="15" hidden="false" customHeight="false" outlineLevel="0" collapsed="false">
      <c r="A3" s="0" t="s">
        <v>19</v>
      </c>
      <c r="B3" s="0" t="n">
        <v>110257</v>
      </c>
      <c r="C3" s="0" t="n">
        <v>210363</v>
      </c>
      <c r="D3" s="0" t="n">
        <v>159821</v>
      </c>
      <c r="E3" s="0" t="n">
        <v>-47.6</v>
      </c>
    </row>
    <row r="4" customFormat="false" ht="15" hidden="false" customHeight="false" outlineLevel="0" collapsed="false">
      <c r="A4" s="0" t="s">
        <v>20</v>
      </c>
      <c r="B4" s="0" t="n">
        <v>233750</v>
      </c>
      <c r="C4" s="0" t="n">
        <v>120582</v>
      </c>
      <c r="D4" s="0" t="n">
        <v>176269</v>
      </c>
      <c r="E4" s="0" t="n">
        <v>93.9</v>
      </c>
    </row>
    <row r="5" customFormat="false" ht="15" hidden="false" customHeight="false" outlineLevel="0" collapsed="false">
      <c r="A5" s="0" t="s">
        <v>21</v>
      </c>
      <c r="B5" s="0" t="n">
        <v>284357</v>
      </c>
      <c r="C5" s="0" t="n">
        <v>110536</v>
      </c>
      <c r="D5" s="0" t="n">
        <v>199111</v>
      </c>
      <c r="E5" s="0" t="n">
        <v>157.3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8" t="s">
        <v>52</v>
      </c>
    </row>
    <row r="3" customFormat="false" ht="15" hidden="false" customHeight="false" outlineLevel="0" collapsed="false">
      <c r="A3" s="9" t="s">
        <v>53</v>
      </c>
      <c r="B3" s="10" t="n">
        <f aca="false">ROUND(SUM(Channel_Summary!C2:C5)/SUM(Channel_Summary!B2:B5),2)</f>
        <v>9.81</v>
      </c>
    </row>
    <row r="4" customFormat="false" ht="15" hidden="false" customHeight="false" outlineLevel="0" collapsed="false">
      <c r="A4" s="9" t="s">
        <v>54</v>
      </c>
      <c r="B4" s="10" t="n">
        <v>75000</v>
      </c>
    </row>
    <row r="5" customFormat="false" ht="15" hidden="false" customHeight="false" outlineLevel="0" collapsed="false">
      <c r="A5" s="9" t="s">
        <v>55</v>
      </c>
      <c r="B5" s="10" t="n">
        <v>1.94</v>
      </c>
    </row>
    <row r="6" customFormat="false" ht="15" hidden="false" customHeight="false" outlineLevel="0" collapsed="false">
      <c r="A6" s="9" t="s">
        <v>56</v>
      </c>
      <c r="B6" s="10" t="n">
        <v>50</v>
      </c>
    </row>
    <row r="7" customFormat="false" ht="15" hidden="false" customHeight="false" outlineLevel="0" collapsed="false">
      <c r="A7" s="9" t="s">
        <v>57</v>
      </c>
      <c r="B7" s="10" t="n">
        <f aca="false">ROUND(B4*B5,0)</f>
        <v>145500</v>
      </c>
    </row>
    <row r="8" customFormat="false" ht="15" hidden="false" customHeight="false" outlineLevel="0" collapsed="false">
      <c r="A8" s="9" t="s">
        <v>58</v>
      </c>
      <c r="B8" s="10" t="n">
        <f aca="false">ROUND(B4*B6,0)</f>
        <v>3750000</v>
      </c>
    </row>
    <row r="9" customFormat="false" ht="15" hidden="false" customHeight="false" outlineLevel="0" collapsed="false">
      <c r="A9" s="9" t="s">
        <v>59</v>
      </c>
      <c r="B9" s="10" t="n">
        <f aca="false">ROUND((SUM(Channel_Summary!C2:C5)-B7+B8)/SUM(Channel_Summary!B2:B5),2)</f>
        <v>11.5</v>
      </c>
    </row>
    <row r="10" customFormat="false" ht="18.55" hidden="false" customHeight="false" outlineLevel="0" collapsed="false">
      <c r="A10" s="9" t="s">
        <v>60</v>
      </c>
      <c r="B10" s="11" t="n">
        <f aca="false">ROUND((B9-B3)/B3*100,1)</f>
        <v>17.2</v>
      </c>
    </row>
    <row r="12" customFormat="false" ht="15" hidden="false" customHeight="false" outlineLevel="0" collapsed="false">
      <c r="A12" s="12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2026-08-11T04:18:26Z</dcterms:created>
  <dc:creator>openpyxl</dc:creator>
  <dc:description/>
  <dc:language>en-US</dc:language>
  <cp:lastModifiedBy/>
  <dcterms:modified xsi:type="dcterms:W3CDTF">2026-08-11T04:18:29Z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